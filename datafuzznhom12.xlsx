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ebeboncau/Downloads/ATPM-nhom12/"/>
    </mc:Choice>
  </mc:AlternateContent>
  <xr:revisionPtr revIDLastSave="0" documentId="13_ncr:1_{42E82DB7-8263-FA45-A40F-DAADA1DCE598}" xr6:coauthVersionLast="47" xr6:coauthVersionMax="47" xr10:uidLastSave="{00000000-0000-0000-0000-000000000000}"/>
  <bookViews>
    <workbookView xWindow="0" yWindow="660" windowWidth="29400" windowHeight="16980" tabRatio="500" xr2:uid="{00000000-000D-0000-FFFF-FFFF00000000}"/>
  </bookViews>
  <sheets>
    <sheet name="Tổng quan" sheetId="1" r:id="rId1"/>
    <sheet name="Seed data &amp; Bounded" sheetId="2" r:id="rId2"/>
    <sheet name="Đặc tả yêu cầu" sheetId="3" r:id="rId3"/>
    <sheet name="Định dạng payload" sheetId="4" r:id="rId4"/>
    <sheet name="Đặc tả hàm" sheetId="5" r:id="rId5"/>
    <sheet name="Test case" sheetId="6" r:id="rId6"/>
    <sheet name="Truy vết BUG" sheetId="7" r:id="rId7"/>
    <sheet name="Kết quả fuzz" sheetId="8" r:id="rId8"/>
  </sheets>
  <definedNames>
    <definedName name="_xlnm._FilterDatabase" localSheetId="1" hidden="1">'Seed data &amp; Bounded'!$A$2:$D$13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8" i="8" l="1"/>
  <c r="J18" i="8"/>
  <c r="I18" i="8"/>
  <c r="H18" i="8"/>
  <c r="H21" i="8" s="1"/>
  <c r="G18" i="8"/>
  <c r="G21" i="8" s="1"/>
  <c r="E18" i="8"/>
  <c r="D18" i="8"/>
  <c r="D21" i="8" s="1"/>
  <c r="K17" i="8"/>
  <c r="J17" i="8"/>
  <c r="I17" i="8"/>
  <c r="H17" i="8"/>
  <c r="G17" i="8"/>
  <c r="E17" i="8"/>
  <c r="D17" i="8"/>
  <c r="K16" i="8"/>
  <c r="J16" i="8"/>
  <c r="I13" i="6" s="1"/>
  <c r="M13" i="6" s="1"/>
  <c r="B17" i="1" s="1"/>
  <c r="B18" i="1" s="1"/>
  <c r="I16" i="8"/>
  <c r="H16" i="8"/>
  <c r="G16" i="8"/>
  <c r="E16" i="8"/>
  <c r="D16" i="8"/>
  <c r="M12" i="6"/>
  <c r="M11" i="6"/>
  <c r="I11" i="6"/>
  <c r="M10" i="6"/>
  <c r="M9" i="6"/>
  <c r="M8" i="6"/>
  <c r="M7" i="6"/>
  <c r="M6" i="6"/>
  <c r="M5" i="6"/>
  <c r="M4" i="6"/>
  <c r="B16" i="1"/>
  <c r="B15" i="1"/>
  <c r="B14" i="1"/>
  <c r="B13" i="1"/>
  <c r="B12" i="1"/>
  <c r="B11" i="1"/>
  <c r="B10" i="1"/>
</calcChain>
</file>

<file path=xl/sharedStrings.xml><?xml version="1.0" encoding="utf-8"?>
<sst xmlns="http://schemas.openxmlformats.org/spreadsheetml/2006/main" count="686" uniqueCount="439">
  <si>
    <t>SEED DATA, BOUNDED INPUT VÀ QUY TRÌNH FUZZING</t>
  </si>
  <si>
    <t>Mục</t>
  </si>
  <si>
    <t>Nội dung</t>
  </si>
  <si>
    <t>Giải thích / ví dụ</t>
  </si>
  <si>
    <t>Nguồn trong project</t>
  </si>
  <si>
    <t>Mục đích</t>
  </si>
  <si>
    <t>Làm rõ dữ liệu đầu vào ban đầu (seed), cách tạo input của từng chiến lược và ý nghĩa bounded.</t>
  </si>
  <si>
    <t>Seed là payload khởi đầu để fuzzer biến đổi; không đồng nghĩa với toàn bộ dữ liệu của 3.000 lần chạy.</t>
  </si>
  <si>
    <t>scripts/cov_fuzz.py; scripts/common.py</t>
  </si>
  <si>
    <t>Cấu trúc payload</t>
  </si>
  <si>
    <t>status_code (4 byte uint32 LE) | code_a (4 byte int32 LE) | code_b (4 byte int32 LE) | sent_bytes (4 byte int32 LE) | queued_bytes (4 byte int32 LE) | student_id_len (1 byte) | student_id (N byte) | extra (các byte còn lại).</t>
  </si>
  <si>
    <t>Header tối thiểu 21 byte. Giá trị số được đóng gói little-endian bằng struct '&lt;IiiiiB'.</t>
  </si>
  <si>
    <t>Sheet 'Định dạng payload'; scripts/common.py</t>
  </si>
  <si>
    <t>Seed WB-1 (lần chạy đầu)</t>
  </si>
  <si>
    <t>status=0; code_a=0; code_b=0; sent=0; queued=0; student_id=b'SV001\x00'; extra=b''.</t>
  </si>
  <si>
    <t>Payload hợp lệ cơ bản, mã sinh viên có byte NUL kết thúc. Dùng make_payload() mặc định.</t>
  </si>
  <si>
    <t>scripts/common.py; scripts/cov_fuzz.py: queue khởi tạo</t>
  </si>
  <si>
    <t>Seed WB-2 (lần chạy thứ hai)</t>
  </si>
  <si>
    <t>status=0; code_a=0; code_b=0; sent=0; queued=0; student_id=b'SV002\x00'; extra=b'hello'.</t>
  </si>
  <si>
    <t>Biến thể có dữ liệu thừa để khởi đầu corpus white-box.</t>
  </si>
  <si>
    <t>scripts/cov_fuzz.py: queue khởi tạo</t>
  </si>
  <si>
    <t>Black-box (toàn miền)</t>
  </si>
  <si>
    <t>Mỗi vòng sinh payload byte ngẫu nhiên với độ dài từ 21 đến 119 byte (n = randrange(21,120)).</t>
  </si>
  <si>
    <t>Không dùng feedback coverage để quyết định input tiếp theo. Seed số 1/2/3 khởi tạo bộ sinh ngẫu nhiên, không phải payload cố định.</t>
  </si>
  <si>
    <t>scripts/cov_fuzz.py: gen_blackbox()</t>
  </si>
  <si>
    <t>Black-box (bounded)</t>
  </si>
  <si>
    <t>status: [0, 2^23-1]; code_a/code_b: [0, 9999]; sent/queued: [0, 2^31-1]; student_id: 0–31 ký tự ASCII in được rồi thêm NUL; extra: 0–47 ký tự ASCII in được. Tập trung miền nghiệp vụ + gần biên (giá trị nhỏ, gần ngưỡng, độ dài ID quanh 15–31).</t>
  </si>
  <si>
    <t>Bounded sinh input trong miền nghiệp vụ và gần biên để dễ kích hoạt overflow/ID dài, int overflow gần ngưỡng. Khi phát hiện lỗi hoặc tăng coverage, payload được lưu vào corpus; các seed/corpus thú vị được đưa cho white-box để kiểm soát và mở rộng số lượng lỗi có thể phát hiện.</t>
  </si>
  <si>
    <t>scripts/cov_fuzz.py: gen_bounded(); corpus → white-box</t>
  </si>
  <si>
    <t>White-box (coverage-guided)</t>
  </si>
  <si>
    <t>Hai seed khởi tạo như WB-1 và WB-2; sau đó mutation theo trường, ưu tiên hằng số/giá trị sát biên trích từ điều kiện trong mã nguồn. Có thể nạp thêm corpus thú vị từ black-box/bounded.</t>
  </si>
  <si>
    <t>Payload được giữ lại trong queue khi phát hiện khối cơ bản mới. Coverage dùng để dẫn hướng. Kết hợp seed ban đầu + corpus từ bounded giúp kiểm soát tốt hơn không gian lỗi (magic status, unlock pair…).</t>
  </si>
  <si>
    <t>scripts/cov_fuzz.py: static_dictionary(), mutate(), queue; corpus từ bounded</t>
  </si>
  <si>
    <t>Giá trị mục tiêu cần chú ý</t>
  </si>
  <si>
    <t>MAGIC_STATUS=0x494E54; status=0xDEAD; cặp unlock=(7421,3390); TELEMETRY_LIMIT=2.000.000.000; ID đích tối đa 15 ký tự + NUL; local buffer=16 byte; session buffer=32 byte.</t>
  </si>
  <si>
    <t>Các giá trị này là điều kiện đặc biệt/giới hạn trong mã. White-box có thể thử giá trị hằng số và giá trị kề cận (c-1, c, c+1).</t>
  </si>
  <si>
    <t>targets/internship_parser.c; scripts/cov_fuzz.py: static_dictionary()</t>
  </si>
  <si>
    <t>Bounded = sinh dữ liệu trong miền giá trị giới hạn (constrained random) theo giả định nghiệp vụ, đồng thời ưu tiên các giá trị gần biên (độ dài ID quanh 15/16/31, status/code gần ngưỡng đã chọn). Không chỉ random thuần trong khoảng, mà phục vụ kiểm tra vùng biên khi phát hiện lỗi.</t>
  </si>
  <si>
    <t>Khi phát hiện lỗi hoặc đạt coverage mới, payload được lưu. Các payload này (cùng payload BUG-xx) được dùng làm seed bổ sung cho white-box → giúp white-box kiểm soát số lượng và loại lỗi có thể có trong ngân sách 3.000 lần chạy.</t>
  </si>
  <si>
    <t>Báo cáo mục 3.3; scripts/cov_fuzz.py; out/fuzz/*/corpus</t>
  </si>
  <si>
    <t>(1) Chạy black-box toàn miền để lấy lỗi/payload; (2) Chạy black-box bounded tập trung miền nghiệp vụ + gần biên, lưu corpus khi có lỗi hoặc coverage mới; (3) Đưa payload tái hiện lỗi và payload thú vị từ (1)+(2) vào corpus/seed của white-box; (4) White-box chạy coverage-guided để kiểm soát và mở rộng tập lỗi; lưu log, loại lỗi và coverage.</t>
  </si>
  <si>
    <t>Quy trình đã được mô tả trong báo cáo và README. Seed WB-1/WB-2 là điểm xuất phát; corpus từ bounded và payload BUG-xx bổ sung cho white-box. Kết quả 9 chiến dịch nằm trong out/fuzz_summary.json.</t>
  </si>
  <si>
    <t>Báo cáo mục 3.3 &amp; 4; README; out/fuzz/, out/evidence/</t>
  </si>
  <si>
    <t>Phân biệt seed và seed RNG</t>
  </si>
  <si>
    <t>Seed payload là tệp byte đầu vào cho chương trình. Seed RNG (ví dụ 1, 2, 3) là số khởi tạo bộ sinh ngẫu nhiên để tái lập chuỗi sinh input.</t>
  </si>
  <si>
    <t>Trong bảng 'Kết quả fuzz', cột 'Seed' đang là seed RNG của từng chiến dịch, không phải tên payload đầu vào.</t>
  </si>
  <si>
    <t>Sheet 'Kết quả fuzz'; scripts/cov_fuzz.py</t>
  </si>
  <si>
    <t>Đặc tả hệ thống mục tiêu: internship_parser (Nhóm 12 – CSE703093)</t>
  </si>
  <si>
    <t>Đề tài</t>
  </si>
  <si>
    <t>Fuzzing white-box testing cho hệ thống quản lý thực tập sinh viên</t>
  </si>
  <si>
    <t>Thành viên</t>
  </si>
  <si>
    <t>Chương trình mục tiêu</t>
  </si>
  <si>
    <t>targets/internship_parser.c (bản có lỗi, 308 dòng), targets/internship_parser_fixed.c (bản vá, 225 dòng)</t>
  </si>
  <si>
    <t>Mẫu đặc tả</t>
  </si>
  <si>
    <t>Template_Report_iot_gateway_auth (Mã yêu cầu / Loại / Ưu tiên / Nội dung; test case truy vết)</t>
  </si>
  <si>
    <t>Nội dung các sheet</t>
  </si>
  <si>
    <t>Đặc tả yêu cầu · Định dạng payload · Đặc tả hàm · Test case · Truy vết BUG · Kết quả fuzz</t>
  </si>
  <si>
    <t>Thống kê (công thức)</t>
  </si>
  <si>
    <t>Số yêu cầu REQ</t>
  </si>
  <si>
    <t>Số yêu cầu phi chức năng NFR</t>
  </si>
  <si>
    <t>Số ràng buộc CON</t>
  </si>
  <si>
    <t>Yêu cầu ưu tiên HIGH</t>
  </si>
  <si>
    <t>Yêu cầu bị vi phạm ở bản buggy</t>
  </si>
  <si>
    <t>Yêu cầu bị vi phạm ở bản fixed</t>
  </si>
  <si>
    <t>Số test case</t>
  </si>
  <si>
    <t>Test case ĐẠT</t>
  </si>
  <si>
    <t>Tỷ lệ test case ĐẠT</t>
  </si>
  <si>
    <t>Đặc tả yêu cầu – internship_parser (Hệ thống Quản lý Thực tập Sinh viên)</t>
  </si>
  <si>
    <t>Mã yêu cầu</t>
  </si>
  <si>
    <t>Loại</t>
  </si>
  <si>
    <t>Ưu tiên</t>
  </si>
  <si>
    <t>Vị trí trong mã nguồn</t>
  </si>
  <si>
    <t>Kiểm chứng bản buggy</t>
  </si>
  <si>
    <t>Kiểm chứng bản fixed</t>
  </si>
  <si>
    <t>REQ-1</t>
  </si>
  <si>
    <t>memory</t>
  </si>
  <si>
    <t>HIGH</t>
  </si>
  <si>
    <t>Hàm phân tích mã sinh viên (parse_student_id) không được ghi vượt bộ đệm student_id[16] với mọi giá trị student_id_len (0–255) và mọi nội dung, kể cả chuỗi không có byte NUL kết thúc.</t>
  </si>
  <si>
    <t>parse_student_id (dòng 69–78)</t>
  </si>
  <si>
    <t>Vi phạm</t>
  </si>
  <si>
    <t>Đạt</t>
  </si>
  <si>
    <t>REQ-2</t>
  </si>
  <si>
    <t>Khi status_code = MAGIC_STATUS (0x494E54), hàm check_status_magic không được chép quá 15 byte dữ liệu thừa vào local[16].</t>
  </si>
  <si>
    <t>check_status_magic (dòng 135–147)</t>
  </si>
  <si>
    <t>REQ-3</t>
  </si>
  <si>
    <t>safety</t>
  </si>
  <si>
    <t>Hàm device_unlock_code không được ghi qua con trỏ NULL với bất kỳ cặp (code_a, code_b), kể cả cặp đặc biệt (7421, 3390).</t>
  </si>
  <si>
    <t>device_unlock_code (dòng 153–162)</t>
  </si>
  <si>
    <t>REQ-4</t>
  </si>
  <si>
    <t>MEDIUM</t>
  </si>
  <si>
    <t>write_log_entry phải giải phóng bản ghi LogEntry đã cấp phát khi cấp phát vùng nhớ nội dung thất bại (không rò rỉ bộ nhớ).</t>
  </si>
  <si>
    <t>write_log_entry (dòng 84–99)</t>
  </si>
  <si>
    <t>REQ-5</t>
  </si>
  <si>
    <t>Phiên (SessionBuffer) chỉ được giải phóng đúng một lần; đường xử lý status_code = MAGIC_STATUS không được gọi close_session hai lần trên cùng con trỏ.</t>
  </si>
  <si>
    <t>close_session (105–115); process_application_payload (dòng 255–259)</t>
  </si>
  <si>
    <t>REQ-6</t>
  </si>
  <si>
    <t>Sau khi giải phóng bộ đệm phiên, không được đọc/ghi con trỏ đó nữa (đường status_code = 0xDEAD).</t>
  </si>
  <si>
    <t>release_session_buffer (dòng 121–129)</t>
  </si>
  <si>
    <t>REQ-7</t>
  </si>
  <si>
    <t>Bộ đếm telemetry sent + queued (int32) không được tràn số; giá trị vượt giới hạn phải bị từ chối trước khi cộng.</t>
  </si>
  <si>
    <t>telemetry_byte_counter (dòng 167–176)</t>
  </si>
  <si>
    <t>REQ-8</t>
  </si>
  <si>
    <t>testability</t>
  </si>
  <si>
    <t>LOW</t>
  </si>
  <si>
    <t>Các nhánh điều kiện hẹp (status 0x494E54, status 0xDEAD, cặp mở khóa (7421, 3390)) phải kiểm thử được bằng fuzzing có dẫn hướng (white-box/coverage-guided), vì black-box gần như không đoán trúng.</t>
  </si>
  <si>
    <t>Toàn bộ chương trình; xem sheet 'Kết quả fuzz'</t>
  </si>
  <si>
    <t>REQ-9</t>
  </si>
  <si>
    <t>functional</t>
  </si>
  <si>
    <t>Đầu vào ngắn hơn 21 byte (header) phải bị từ chối bằng mã -1 mà không đọc ngoài biên; đầu vào rỗng phải trả mã 1 kèm thông báo 'Empty input'.</t>
  </si>
  <si>
    <t>process_application_payload (dòng 209–211); main (dòng 302–305)</t>
  </si>
  <si>
    <t>NFR-1</t>
  </si>
  <si>
    <t>non_functional</t>
  </si>
  <si>
    <t>Mỗi lần thực thi với đầu vào ≤ 512 byte phải kết thúc trong 1 giây (không treo/hang). Ngưỡng 1 giây là timeout của harness fuzz.</t>
  </si>
  <si>
    <t>Toàn bộ chương trình (không có vòng lặp phụ thuộc đầu vào)</t>
  </si>
  <si>
    <t>NFR-2</t>
  </si>
  <si>
    <t>Mỗi lỗi phải tái hiện được chỉ bằng một tệp payload đơn lẻ, và log sanitizer phải nêu loại lỗi, hàm và số dòng. Ngoại lệ: BUG-04 cần harness ép malloc thất bại.</t>
  </si>
  <si>
    <t>out/evidence/*.bin, *.log</t>
  </si>
  <si>
    <t>Đạt một phần</t>
  </si>
  <si>
    <t>CON-1</t>
  </si>
  <si>
    <t>constraint</t>
  </si>
  <si>
    <t>Đầu vào đọc vào mảng buffer[512]; tối đa 512 byte được xử lý, phần dư bị bỏ qua.</t>
  </si>
  <si>
    <t>main (dòng 287–300)</t>
  </si>
  <si>
    <t>–</t>
  </si>
  <si>
    <t>CON-2</t>
  </si>
  <si>
    <t>Mã sinh viên tối đa 16 byte ASCII (MAX_STUDENT_ID_LEN = 16), tức 15 ký tự + 1 byte NUL kết thúc.</t>
  </si>
  <si>
    <t>#define MAX_STUDENT_ID_LEN (dòng 28)</t>
  </si>
  <si>
    <t>CON-3</t>
  </si>
  <si>
    <t>Bộ đệm phiên có kích thước SESSION_BUF_SIZE = 32 byte; dữ liệu thừa chỉ được chép vào phiên khi 0 &lt; rest_len &lt; 32. Nội dung log là tối đa 32 byte đầu của payload.</t>
  </si>
  <si>
    <t>allocate_session; process_application_payload (dòng 244–252)</t>
  </si>
  <si>
    <t>CON-4</t>
  </si>
  <si>
    <t>Bộ đếm telemetry dùng kiểu int32; ngưỡng TELEMETRY_LIMIT = 2.000.000.000.</t>
  </si>
  <si>
    <t>#define TELEMETRY_LIMIT; telemetry_byte_counter</t>
  </si>
  <si>
    <t>CON-5</t>
  </si>
  <si>
    <t>Các hằng số điều kiện đặc biệt: MAGIC_STATUS = 0x494E54 ('INT'), mã 0xDEAD, MAGIC_UNLOCK_A = 7421, MAGIC_UNLOCK_B = 3390.</t>
  </si>
  <si>
    <t>#define (dòng 32–34); 0xDEAD nằm trong process_application_payload</t>
  </si>
  <si>
    <t>Định dạng payload nhị phân (đầu vào duy nhất của chương trình)</t>
  </si>
  <si>
    <t>Offset (byte)</t>
  </si>
  <si>
    <t>Độ dài (byte)</t>
  </si>
  <si>
    <t>Kiểu</t>
  </si>
  <si>
    <t>Trường</t>
  </si>
  <si>
    <t>Thứ tự byte / ghi chú</t>
  </si>
  <si>
    <t>Ý nghĩa và giá trị đặc biệt</t>
  </si>
  <si>
    <t>Trường API tương ứng</t>
  </si>
  <si>
    <t>Hàm sử dụng</t>
  </si>
  <si>
    <t>Yêu cầu liên quan</t>
  </si>
  <si>
    <t>0</t>
  </si>
  <si>
    <t>4</t>
  </si>
  <si>
    <t>uint32</t>
  </si>
  <si>
    <t>status_code</t>
  </si>
  <si>
    <t>Little-endian (x86)</t>
  </si>
  <si>
    <t>Mã trạng thái đơn. 0x494E54 → đường magic/close_session hai lần; 0xDEAD → đường use-after-free.</t>
  </si>
  <si>
    <t>ApplicationStatus</t>
  </si>
  <si>
    <t>check_status_magic; process_application_payload</t>
  </si>
  <si>
    <t>REQ-2, REQ-5, REQ-6</t>
  </si>
  <si>
    <t>int32</t>
  </si>
  <si>
    <t>code_a</t>
  </si>
  <si>
    <t>Little-endian</t>
  </si>
  <si>
    <t>Thành phần thứ nhất của mã mở khóa; giá trị đặc biệt 7421.</t>
  </si>
  <si>
    <t>Mã mở khóa thiết bị</t>
  </si>
  <si>
    <t>device_unlock_code</t>
  </si>
  <si>
    <t>8</t>
  </si>
  <si>
    <t>code_b</t>
  </si>
  <si>
    <t>Thành phần thứ hai của mã mở khóa; giá trị đặc biệt 3390.</t>
  </si>
  <si>
    <t>12</t>
  </si>
  <si>
    <t>sent_bytes</t>
  </si>
  <si>
    <t>Số byte đã gửi (telemetry).</t>
  </si>
  <si>
    <t>Bộ đếm telemetry</t>
  </si>
  <si>
    <t>telemetry_byte_counter</t>
  </si>
  <si>
    <t>16</t>
  </si>
  <si>
    <t>queued_bytes</t>
  </si>
  <si>
    <t>Số byte đang chờ gửi (telemetry).</t>
  </si>
  <si>
    <t>20</t>
  </si>
  <si>
    <t>1</t>
  </si>
  <si>
    <t>uint8</t>
  </si>
  <si>
    <t>student_id_len</t>
  </si>
  <si>
    <t>Độ dài khai báo của mã sinh viên, 0–255. Không được tin cậy.</t>
  </si>
  <si>
    <t>studentId (độ dài)</t>
  </si>
  <si>
    <t>process_application_payload</t>
  </si>
  <si>
    <t>21</t>
  </si>
  <si>
    <t>byte[]</t>
  </si>
  <si>
    <t>student_id</t>
  </si>
  <si>
    <t>Không bắt buộc kết thúc bằng NUL</t>
  </si>
  <si>
    <t>Nội dung mã sinh viên thô. Đích chỉ có 16 byte (CON-2).</t>
  </si>
  <si>
    <t>studentId</t>
  </si>
  <si>
    <t>parse_student_id</t>
  </si>
  <si>
    <t>21 + student_id_len</t>
  </si>
  <si>
    <t>còn lại (≤ 512 − 21 − id_len)</t>
  </si>
  <si>
    <t>rest (dữ liệu thừa)</t>
  </si>
  <si>
    <t>Dữ liệu còn lại: chép vào local[16] khi status magic, vào phiên 32 byte, và 32 byte đầu của payload làm nội dung log.</t>
  </si>
  <si>
    <t>Nội dung đơn / nhật ký</t>
  </si>
  <si>
    <t>check_status_magic; write_log_entry; allocate_session</t>
  </si>
  <si>
    <t>REQ-2, REQ-4, REQ-5</t>
  </si>
  <si>
    <t>Đặc tả từng hàm: tiền điều kiện, hậu điều kiện, hành vi mong đợi và hành vi thực tế</t>
  </si>
  <si>
    <t>Hàm</t>
  </si>
  <si>
    <t>Dòng bắt đầu</t>
  </si>
  <si>
    <t>Chữ ký</t>
  </si>
  <si>
    <t>Tiền điều kiện</t>
  </si>
  <si>
    <t>Hậu điều kiện (hành vi mong đợi)</t>
  </si>
  <si>
    <t>Hành vi thực tế – bản buggy</t>
  </si>
  <si>
    <t>Hành vi – bản fixed</t>
  </si>
  <si>
    <t>Yêu cầu / ràng buộc</t>
  </si>
  <si>
    <t>BUG</t>
  </si>
  <si>
    <t>CWE</t>
  </si>
  <si>
    <t>69</t>
  </si>
  <si>
    <t>(const char *raw_id, size_t raw_len, char *out_id) → void</t>
  </si>
  <si>
    <t>raw_id trỏ tới dữ liệu thô (không bảo đảm có NUL); out_id trỏ tới mảng 16 byte.</t>
  </si>
  <si>
    <t>out_id chứa chuỗi kết thúc NUL, không quá 15 ký tự.</t>
  </si>
  <si>
    <t>strcpy(out_id, raw_id) không giới hạn → ghi vượt out_id[16] khi chuỗi từ 16 byte trở lên hoặc không có NUL.</t>
  </si>
  <si>
    <t>memcpy với n = min(raw_len, 15) rồi gán NUL cuối.</t>
  </si>
  <si>
    <t>REQ-1; CON-2</t>
  </si>
  <si>
    <t>BUG-01</t>
  </si>
  <si>
    <t>CWE-120</t>
  </si>
  <si>
    <t>write_log_entry</t>
  </si>
  <si>
    <t>84</t>
  </si>
  <si>
    <t>(const char *msg, size_t msg_len) → LogEntry*</t>
  </si>
  <si>
    <t>msg_len ≤ 32 (do caller giới hạn).</t>
  </si>
  <si>
    <t>Trả về bản ghi hợp lệ hoặc NULL; không rò bộ nhớ trong cả hai trường hợp.</t>
  </si>
  <si>
    <t>Khi malloc nội dung thất bại, thoát mà không free(entry) → rò rỉ 24 byte.</t>
  </si>
  <si>
    <t>Gọi free(entry) trước khi trả NULL.</t>
  </si>
  <si>
    <t>REQ-4; CON-3</t>
  </si>
  <si>
    <t>BUG-04</t>
  </si>
  <si>
    <t>CWE-401</t>
  </si>
  <si>
    <t>close_session</t>
  </si>
  <si>
    <t>105</t>
  </si>
  <si>
    <t>(SessionBuffer *sess) → void</t>
  </si>
  <si>
    <t>sess hợp lệ, chưa bị giải phóng, hoặc NULL.</t>
  </si>
  <si>
    <t>sess và sess-&gt;buf được giải phóng đúng một lần.</t>
  </si>
  <si>
    <t>Caller gọi hai lần trên cùng con trỏ: lần hai đọc sess-&gt;buf trên vùng đã free (ASan báo heap-use-after-free) rồi free lần hai.</t>
  </si>
  <si>
    <t>Chỉ giải phóng một lần; caller không gọi lại.</t>
  </si>
  <si>
    <t>BUG-05</t>
  </si>
  <si>
    <t>CWE-415</t>
  </si>
  <si>
    <t>release_session_buffer</t>
  </si>
  <si>
    <t>121</t>
  </si>
  <si>
    <t>sess hợp lệ hoặc NULL.</t>
  </si>
  <si>
    <t>Bộ đệm phiên được giải phóng, không truy cập sau đó.</t>
  </si>
  <si>
    <t>free(sess-&gt;buf) rồi ghi sess-&gt;buf[0] = 'X' → ghi vào vùng đã giải phóng.</t>
  </si>
  <si>
    <t>Không ghi sau free; đặt buf = NULL.</t>
  </si>
  <si>
    <t>BUG-06</t>
  </si>
  <si>
    <t>CWE-416</t>
  </si>
  <si>
    <t>check_status_magic</t>
  </si>
  <si>
    <t>135</t>
  </si>
  <si>
    <t>(uint32_t status_code, const char *payload, size_t plen) → int</t>
  </si>
  <si>
    <t>payload trỏ tới dữ liệu thừa dài plen byte.</t>
  </si>
  <si>
    <t>Trả 1 nếu status = 0x494E54, ngược lại 0; không ghi quá local[16].</t>
  </si>
  <si>
    <t>Khi status = magic, memcpy(local, payload, plen) không kiểm tra plen ≤ 16 → tràn stack khi plen &gt; 16.</t>
  </si>
  <si>
    <t>Giới hạn n ≤ sizeof(local) − 1.</t>
  </si>
  <si>
    <t>BUG-02</t>
  </si>
  <si>
    <t>153</t>
  </si>
  <si>
    <t>(int code_a, int code_b) → int</t>
  </si>
  <si>
    <t>Mọi giá trị int.</t>
  </si>
  <si>
    <t>Trả 1 nếu (code_a, code_b) = (7421, 3390), ngược lại 0; không crash.</t>
  </si>
  <si>
    <t>Với cặp (7421, 3390): char *p = NULL; *p = 42; → ghi qua con trỏ NULL (SEGV).</t>
  </si>
  <si>
    <t>Chỉ trả mã 1.</t>
  </si>
  <si>
    <t>REQ-3; CON-5</t>
  </si>
  <si>
    <t>BUG-03</t>
  </si>
  <si>
    <t>CWE-476</t>
  </si>
  <si>
    <t>167</t>
  </si>
  <si>
    <t>(int32_t sent, int32_t queued) → int</t>
  </si>
  <si>
    <t>sent, queued là int32 (có thể âm).</t>
  </si>
  <si>
    <t>Trả tổng nếu hợp lệ; trả −1 nếu vượt TELEMETRY_LIMIT, −2 nếu có số âm (bản fixed); không tràn.</t>
  </si>
  <si>
    <t>int32_t total = sent + queued không kiểm tra tràn → hành vi không xác định khi tổng &gt; INT32_MAX.</t>
  </si>
  <si>
    <t>Kiểm tra sent &gt; LIMIT − queued trước khi cộng.</t>
  </si>
  <si>
    <t>REQ-7; CON-4</t>
  </si>
  <si>
    <t>BUG-07</t>
  </si>
  <si>
    <t>CWE-190</t>
  </si>
  <si>
    <t>allocate_session</t>
  </si>
  <si>
    <t>181</t>
  </si>
  <si>
    <t>(size_t size) → SessionBuffer*</t>
  </si>
  <si>
    <t>size &gt; 0.</t>
  </si>
  <si>
    <t>Trả phiên đã khởi tạo bằng 0 hoặc NULL; không rò bộ nhớ khi malloc thứ hai thất bại.</t>
  </si>
  <si>
    <t>Đúng theo đặc tả (không có lỗi).</t>
  </si>
  <si>
    <t>Không đổi.</t>
  </si>
  <si>
    <t>209</t>
  </si>
  <si>
    <t>(const uint8_t *data, size_t len) → int</t>
  </si>
  <si>
    <t>data trỏ tới len byte (len ≤ 512).</t>
  </si>
  <si>
    <t>Trả −1 nếu len &lt; 21; ngược lại 0. Mọi vùng nhớ đã cấp phát đều được giải phóng đúng một lần.</t>
  </si>
  <si>
    <t>Gọi các hàm trên theo thứ tự; tạo đường close_session hai lần (status 0x494E54) và use-after-free (status 0xDEAD).</t>
  </si>
  <si>
    <t>Bỏ đường gọi hai lần; các hàm con đã vá.</t>
  </si>
  <si>
    <t>REQ-1…REQ-9</t>
  </si>
  <si>
    <t>BUG-05, BUG-06 (đường gọi)</t>
  </si>
  <si>
    <t>CWE-415, CWE-416</t>
  </si>
  <si>
    <t>main</t>
  </si>
  <si>
    <t>285</t>
  </si>
  <si>
    <t>(int argc, char *argv[]) → int</t>
  </si>
  <si>
    <t>argv[1] là đường dẫn tệp, hoặc đọc từ stdin.</t>
  </si>
  <si>
    <t>Trả 1 khi không mở được tệp hoặc đầu vào rỗng; ngược lại trả kết quả của process_application_payload.</t>
  </si>
  <si>
    <t>Đúng theo đặc tả.</t>
  </si>
  <si>
    <t>REQ-9; CON-1</t>
  </si>
  <si>
    <t>Test case truy vết từ đặc tả</t>
  </si>
  <si>
    <t>ID</t>
  </si>
  <si>
    <t>Tiêu đề</t>
  </si>
  <si>
    <t>Truy vết yêu cầu</t>
  </si>
  <si>
    <t>Kết quả mong đợi</t>
  </si>
  <si>
    <t>Payload / harness</t>
  </si>
  <si>
    <t>Log bằng chứng (out/evidence/)</t>
  </si>
  <si>
    <t>Kết quả thực tế (tóm tắt)</t>
  </si>
  <si>
    <t>Thực tế – bản buggy</t>
  </si>
  <si>
    <t>Thực tế – bản fixed</t>
  </si>
  <si>
    <t>Kỳ vọng – bản buggy</t>
  </si>
  <si>
    <t>Kỳ vọng – bản fixed</t>
  </si>
  <si>
    <t>Trạng thái</t>
  </si>
  <si>
    <t>TC-1</t>
  </si>
  <si>
    <t>studentId 64 byte 'A' (vượt 15 ký tự)</t>
  </si>
  <si>
    <t>Bản buggy bị ASan báo stack-buffer-overflow tại parse_student_id; bản fixed chạy sạch.</t>
  </si>
  <si>
    <t>BUG-01_overflow_student_id.bin</t>
  </si>
  <si>
    <t>BUG-01_overflow_student_id.buggy.log</t>
  </si>
  <si>
    <t>ASan: stack-buffer-overflow (WRITE 65 byte), parse_student_id dòng 72</t>
  </si>
  <si>
    <t>Có lỗi</t>
  </si>
  <si>
    <t>Không lỗi</t>
  </si>
  <si>
    <t>TC-2</t>
  </si>
  <si>
    <t>status = 0x494E54, ID ngắn có NUL, 40 byte dữ liệu thừa</t>
  </si>
  <si>
    <t>Bản buggy bị ASan báo stack-buffer-overflow tại check_status_magic; bản fixed chạy sạch.</t>
  </si>
  <si>
    <t>BUG-02_overflow_magic_status.bin</t>
  </si>
  <si>
    <t>BUG-02_overflow_magic_status.buggy.log</t>
  </si>
  <si>
    <t>ASan: stack-buffer-overflow (WRITE 40 byte), check_status_magic dòng 141</t>
  </si>
  <si>
    <t>TC-3</t>
  </si>
  <si>
    <t>Cặp mở khóa (7421, 3390)</t>
  </si>
  <si>
    <t>Bản buggy bị UBSan/ASan báo ghi qua con trỏ NULL; bản fixed chạy sạch.</t>
  </si>
  <si>
    <t>BUG-03_null_deref_unlock.bin</t>
  </si>
  <si>
    <t>BUG-03_null_deref_unlock.buggy.log</t>
  </si>
  <si>
    <t>UBSan: store to null pointer + ASan SEGV, device_unlock_code dòng 158</t>
  </si>
  <si>
    <t>TC-4</t>
  </si>
  <si>
    <t>write_log_entry với malloc thất bại (harness ép msg_len = 1&lt;&lt;62)</t>
  </si>
  <si>
    <t>Bản buggy bị LSan báo rò rỉ 24 byte; bản fixed không rò rỉ.</t>
  </si>
  <si>
    <t>leak_harness.c (không dùng payload)</t>
  </si>
  <si>
    <t>BUG-04_leak_write_log_entry.buggy.log</t>
  </si>
  <si>
    <t>LSan: 24 byte rò rỉ, write_log_entry dòng 86</t>
  </si>
  <si>
    <t>TC-5</t>
  </si>
  <si>
    <t>status = 0x494E54, ID ngắn, không có dữ liệu thừa (close_session hai lần)</t>
  </si>
  <si>
    <t>Bản buggy bị ASan báo lỗi bộ nhớ tại close_session; bản fixed chạy sạch.</t>
  </si>
  <si>
    <t>BUG-05_double_free_close_session.bin</t>
  </si>
  <si>
    <t>BUG-05_double_free_close_session.buggy.log</t>
  </si>
  <si>
    <t>ASan: heap-use-after-free (READ 8 byte), close_session dòng 109</t>
  </si>
  <si>
    <t>TC-6</t>
  </si>
  <si>
    <t>status = 0xDEAD, ID ngắn (ghi sau free)</t>
  </si>
  <si>
    <t>Bản buggy bị ASan báo heap-use-after-free tại release_session_buffer; bản fixed chạy sạch.</t>
  </si>
  <si>
    <t>BUG-06_uaf_release_buffer.bin</t>
  </si>
  <si>
    <t>BUG-06_uaf_release_buffer.buggy.log</t>
  </si>
  <si>
    <t>ASan: heap-use-after-free (WRITE 1 byte), release_session_buffer dòng 126</t>
  </si>
  <si>
    <t>TC-7</t>
  </si>
  <si>
    <t>sent = 1.500.000.000, queued = 1.000.000.000</t>
  </si>
  <si>
    <t>Bản buggy bị UBSan báo signed integer overflow; bản fixed từ chối an toàn.</t>
  </si>
  <si>
    <t>BUG-07_int_overflow_telemetry.bin</t>
  </si>
  <si>
    <t>BUG-07_int_overflow_telemetry.buggy.log</t>
  </si>
  <si>
    <t>UBSan: signed integer overflow, telemetry_byte_counter dòng 170 (mã thoát 0)</t>
  </si>
  <si>
    <t>TC-8</t>
  </si>
  <si>
    <t>So sánh fuzz: white-box tìm được ≥ 5 loại lỗi, black-box ≤ 2 loại trong 3.000 lần/seed</t>
  </si>
  <si>
    <t>White-box tìm tối thiểu 5 loại lỗi ở cả 3 seed; black-box (cả hai biến thể) tối đa 2 loại.</t>
  </si>
  <si>
    <t>scripts/cov_fuzz.py</t>
  </si>
  <si>
    <t>out/fuzz_summary.json</t>
  </si>
  <si>
    <t>Xem sheet 'Kết quả fuzz'</t>
  </si>
  <si>
    <t>TC-9</t>
  </si>
  <si>
    <t>Đầu vào 10 byte (ngắn hơn header 21 byte)</t>
  </si>
  <si>
    <t>Cả hai bản trả mã 255 (−1), không lỗi sanitizer.</t>
  </si>
  <si>
    <t>TC-09_short_input.bin</t>
  </si>
  <si>
    <t>TC-09_short_input.buggy.log</t>
  </si>
  <si>
    <t>Mã thoát 255, log rỗng</t>
  </si>
  <si>
    <t>TC-10</t>
  </si>
  <si>
    <t>Tệp rỗng; và không có lần chạy nào quá 1 giây trong 27.000 lần fuzz</t>
  </si>
  <si>
    <t>REQ-9, NFR-1</t>
  </si>
  <si>
    <t>Tệp rỗng: mã 1 + 'Empty input'; tổng số hang bằng 0.</t>
  </si>
  <si>
    <t>TC-10_empty_input.bin</t>
  </si>
  <si>
    <t>TC-10_empty_input.buggy.log</t>
  </si>
  <si>
    <t>Mã thoát 1, thông báo 'Empty input'; hang xem sheet 'Kết quả fuzz'</t>
  </si>
  <si>
    <t>Truy vết BUG – yêu cầu – CWE – CVE – test case</t>
  </si>
  <si>
    <t>Dòng lỗi</t>
  </si>
  <si>
    <t>Tên CWE</t>
  </si>
  <si>
    <t>CVE cùng lớp lỗi (minh họa)</t>
  </si>
  <si>
    <t>Mức rủi ro (nhóm đánh giá)</t>
  </si>
  <si>
    <t>Yêu cầu bị vi phạm</t>
  </si>
  <si>
    <t>Test case</t>
  </si>
  <si>
    <t>72</t>
  </si>
  <si>
    <t>Buffer Copy without Checking Size of Input</t>
  </si>
  <si>
    <t>CVE-2023-42801</t>
  </si>
  <si>
    <t>Cao</t>
  </si>
  <si>
    <t>141</t>
  </si>
  <si>
    <t>158</t>
  </si>
  <si>
    <t>NULL Pointer Dereference</t>
  </si>
  <si>
    <t>CVE-2021-34798</t>
  </si>
  <si>
    <t>Trung bình</t>
  </si>
  <si>
    <t>86</t>
  </si>
  <si>
    <t>Missing Release of Memory after Effective Lifetime</t>
  </si>
  <si>
    <t>CVE-2023-53017</t>
  </si>
  <si>
    <t>Thấp–Trung bình</t>
  </si>
  <si>
    <t>109</t>
  </si>
  <si>
    <t>Double Free (ASan báo heap-use-after-free trước)</t>
  </si>
  <si>
    <t>CVE-2023-45664</t>
  </si>
  <si>
    <t>126</t>
  </si>
  <si>
    <t>Use After Free</t>
  </si>
  <si>
    <t>CVE-2024-4741</t>
  </si>
  <si>
    <t>170</t>
  </si>
  <si>
    <t>Integer Overflow or Wraparound</t>
  </si>
  <si>
    <t>CVE-2021-30860</t>
  </si>
  <si>
    <t>Trung bình–Cao</t>
  </si>
  <si>
    <t>Kết quả fuzz: 9 chiến dịch × 3.000 lần thực thi (3 chiến lược × 3 seed)</t>
  </si>
  <si>
    <t>Chiến lược</t>
  </si>
  <si>
    <t>Seed</t>
  </si>
  <si>
    <t>Số lần chạy</t>
  </si>
  <si>
    <t>Khối cơ bản đã phủ</t>
  </si>
  <si>
    <t>Trạng thái sinh ra</t>
  </si>
  <si>
    <t>Seed đạt phủ mới</t>
  </si>
  <si>
    <t>Phủ dòng (gcov, %)</t>
  </si>
  <si>
    <t>Nhánh được đi (gcov, %)</t>
  </si>
  <si>
    <t>Số loại lỗi tìm thấy</t>
  </si>
  <si>
    <t>Hang</t>
  </si>
  <si>
    <t>Thời gian (giây)</t>
  </si>
  <si>
    <t>Tổng hợp theo chiến lược (công thức)</t>
  </si>
  <si>
    <t>Khối TB</t>
  </si>
  <si>
    <t>Trạng thái TB</t>
  </si>
  <si>
    <t>Phủ dòng TB (%)</t>
  </si>
  <si>
    <t>Nhánh được đi TB (%)</t>
  </si>
  <si>
    <t>Số loại lỗi TB</t>
  </si>
  <si>
    <t>Hang (tổng)</t>
  </si>
  <si>
    <t>Thời gian TB (giây)</t>
  </si>
  <si>
    <t>Mốc so sánh: chỉ chạy seed hợp lệ</t>
  </si>
  <si>
    <t>White-box − Black-box toàn miền (điểm %)</t>
  </si>
  <si>
    <t>Khối cơ bản: tăng</t>
  </si>
  <si>
    <t>Lần chạy đầu tiên phát hiện từng lỗi (– = không tìm thấy trong 3.000 lần)</t>
  </si>
  <si>
    <t>Lỗi (hàm)</t>
  </si>
  <si>
    <t>Black-box toàn miền s1</t>
  </si>
  <si>
    <t>Black-box toàn miền s2</t>
  </si>
  <si>
    <t>Black-box toàn miền s3</t>
  </si>
  <si>
    <t>Black-box bounded s1</t>
  </si>
  <si>
    <t>Black-box bounded s2</t>
  </si>
  <si>
    <t>Black-box bounded s3</t>
  </si>
  <si>
    <t>White-box WB s1</t>
  </si>
  <si>
    <t>White-box WB s2</t>
  </si>
  <si>
    <t>White-box WB s3</t>
  </si>
  <si>
    <t>BUG-01 parse_student_id</t>
  </si>
  <si>
    <t>BUG-07 telemetry_byte_counter (UBSan)</t>
  </si>
  <si>
    <t>BUG-06 release_session_buffer</t>
  </si>
  <si>
    <t>BUG-02 check_status_magic</t>
  </si>
  <si>
    <t>BUG-05 close_session</t>
  </si>
  <si>
    <t>BUG-03 device_unlock_code</t>
  </si>
  <si>
    <t>BUG-04 write_log_entry</t>
  </si>
  <si>
    <t>Cần malloc thất bại – không kích hoạt được bằng payload</t>
  </si>
  <si>
    <t xml:space="preserve">Quy trình </t>
  </si>
  <si>
    <t xml:space="preserve">Làm rõ thuật ngữ bounded </t>
  </si>
  <si>
    <t>Nguyễn Phương Ngân-23010450; Đỗ Nguyên Anh Vũ-23010334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</si>
</sst>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0" x14ac:knownFonts="1">
    <font>
      <sz val="11"/>
      <color theme="1"/>
      <name val="Calibri"/>
      <family val="2"/>
      <charset val="1"/>
    </font>
    <font>
      <b/>
      <sz val="14"/>
      <color rgb="FF1A4FA0"/>
      <name val="Times New Roman"/>
      <family val="1"/>
    </font>
    <font>
      <sz val="14"/>
      <color theme="1"/>
      <name val="Times New Roman"/>
      <family val="1"/>
    </font>
    <font>
      <b/>
      <sz val="14"/>
      <name val="Times New Roman"/>
      <family val="1"/>
    </font>
    <font>
      <sz val="14"/>
      <name val="Times New Roman"/>
      <family val="1"/>
    </font>
    <font>
      <b/>
      <sz val="14"/>
      <color theme="1"/>
      <name val="Times New Roman"/>
      <family val="1"/>
    </font>
    <font>
      <b/>
      <sz val="14"/>
      <color rgb="FFFFFFFF"/>
      <name val="Times New Roman"/>
      <family val="1"/>
    </font>
    <font>
      <i/>
      <sz val="14"/>
      <color rgb="FF555555"/>
      <name val="Times New Roman"/>
      <family val="1"/>
    </font>
    <font>
      <sz val="14"/>
      <color rgb="FF0000FF"/>
      <name val="Times New Roman"/>
      <family val="1"/>
    </font>
    <font>
      <i/>
      <sz val="14"/>
      <name val="Times New Roman"/>
      <family val="1"/>
    </font>
  </fonts>
  <fills count="8">
    <fill>
      <patternFill patternType="none"/>
    </fill>
    <fill>
      <patternFill patternType="gray125"/>
    </fill>
    <fill>
      <patternFill patternType="solid">
        <fgColor rgb="FF1A4FA0"/>
        <bgColor rgb="FF0066CC"/>
      </patternFill>
    </fill>
    <fill>
      <patternFill patternType="solid">
        <fgColor rgb="FFFDE8E8"/>
        <bgColor rgb="FFFFF4D6"/>
      </patternFill>
    </fill>
    <fill>
      <patternFill patternType="solid">
        <fgColor rgb="FFE6F4EA"/>
        <bgColor rgb="FFFFF4D6"/>
      </patternFill>
    </fill>
    <fill>
      <patternFill patternType="solid">
        <fgColor rgb="FFFFF4D6"/>
        <bgColor rgb="FFFDE8E8"/>
      </patternFill>
    </fill>
    <fill>
      <patternFill patternType="solid">
        <fgColor rgb="FF4472C4"/>
      </patternFill>
    </fill>
    <fill>
      <patternFill patternType="solid">
        <fgColor theme="4"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49">
    <xf numFmtId="0" fontId="0" fillId="0" borderId="0" xfId="0"/>
    <xf numFmtId="0" fontId="2" fillId="0" borderId="0" xfId="0" applyFont="1"/>
    <xf numFmtId="0" fontId="2" fillId="0" borderId="0" xfId="0" applyFont="1" applyAlignment="1">
      <alignment horizontal="center"/>
    </xf>
    <xf numFmtId="0" fontId="2" fillId="0" borderId="1" xfId="0" applyFont="1" applyBorder="1" applyAlignment="1">
      <alignment horizontal="center"/>
    </xf>
    <xf numFmtId="0" fontId="3" fillId="0" borderId="1" xfId="0" applyFont="1" applyBorder="1" applyAlignment="1">
      <alignment horizontal="center"/>
    </xf>
    <xf numFmtId="0" fontId="5" fillId="0" borderId="0" xfId="0" applyFont="1" applyAlignment="1">
      <alignment horizontal="center" wrapText="1"/>
    </xf>
    <xf numFmtId="0" fontId="2" fillId="0" borderId="0" xfId="0" applyFont="1" applyAlignment="1">
      <alignment horizontal="center" wrapText="1"/>
    </xf>
    <xf numFmtId="0" fontId="3" fillId="0" borderId="1" xfId="0" applyFont="1" applyBorder="1" applyAlignment="1">
      <alignment horizontal="center" wrapText="1"/>
    </xf>
    <xf numFmtId="0" fontId="4" fillId="0" borderId="1" xfId="0" applyFont="1" applyBorder="1" applyAlignment="1">
      <alignment horizontal="center" vertical="top" wrapText="1"/>
    </xf>
    <xf numFmtId="0" fontId="1" fillId="0" borderId="0" xfId="0" applyFont="1" applyAlignment="1">
      <alignment horizontal="center" wrapText="1"/>
    </xf>
    <xf numFmtId="0" fontId="3" fillId="0" borderId="0" xfId="0" applyFont="1" applyAlignment="1">
      <alignment horizontal="center" wrapText="1"/>
    </xf>
    <xf numFmtId="0" fontId="4" fillId="0" borderId="1" xfId="0" applyFont="1" applyBorder="1" applyAlignment="1">
      <alignment horizontal="left" vertical="top" wrapText="1"/>
    </xf>
    <xf numFmtId="0" fontId="4" fillId="0" borderId="1" xfId="0" applyFont="1" applyBorder="1" applyAlignment="1">
      <alignment horizontal="center" wrapText="1"/>
    </xf>
    <xf numFmtId="9" fontId="3" fillId="0" borderId="1" xfId="0" applyNumberFormat="1" applyFont="1" applyBorder="1" applyAlignment="1">
      <alignment horizontal="center" wrapText="1"/>
    </xf>
    <xf numFmtId="0" fontId="3" fillId="0" borderId="0" xfId="0" applyFont="1" applyAlignment="1">
      <alignment horizontal="center"/>
    </xf>
    <xf numFmtId="0" fontId="9" fillId="0" borderId="0" xfId="0" applyFont="1" applyAlignment="1">
      <alignment horizontal="center" wrapText="1"/>
    </xf>
    <xf numFmtId="0" fontId="6" fillId="2" borderId="1" xfId="0" applyFont="1" applyFill="1" applyBorder="1" applyAlignment="1">
      <alignment horizontal="center" vertical="top" wrapText="1"/>
    </xf>
    <xf numFmtId="0" fontId="8" fillId="0" borderId="1" xfId="0" applyFont="1" applyBorder="1" applyAlignment="1">
      <alignment horizontal="center" vertical="top" wrapText="1"/>
    </xf>
    <xf numFmtId="0" fontId="3" fillId="0" borderId="1" xfId="0" applyFont="1" applyBorder="1" applyAlignment="1">
      <alignment horizontal="center" vertical="top" wrapText="1"/>
    </xf>
    <xf numFmtId="164" fontId="4" fillId="0" borderId="1" xfId="0" applyNumberFormat="1" applyFont="1" applyBorder="1" applyAlignment="1">
      <alignment horizontal="center" vertical="top" wrapText="1"/>
    </xf>
    <xf numFmtId="0" fontId="8" fillId="0" borderId="1" xfId="0" applyFont="1" applyBorder="1" applyAlignment="1">
      <alignment horizontal="center"/>
    </xf>
    <xf numFmtId="0" fontId="4" fillId="0" borderId="1" xfId="0" applyFont="1" applyBorder="1" applyAlignment="1">
      <alignment horizontal="center"/>
    </xf>
    <xf numFmtId="165" fontId="2" fillId="0" borderId="1" xfId="0" applyNumberFormat="1" applyFont="1" applyBorder="1" applyAlignment="1">
      <alignment horizontal="center"/>
    </xf>
    <xf numFmtId="164" fontId="2" fillId="0" borderId="1" xfId="0" applyNumberFormat="1" applyFont="1" applyBorder="1" applyAlignment="1">
      <alignment horizontal="center"/>
    </xf>
    <xf numFmtId="0" fontId="4" fillId="3"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4" fillId="5" borderId="1" xfId="0" applyFont="1" applyFill="1" applyBorder="1" applyAlignment="1">
      <alignment horizontal="center" vertical="top" wrapText="1"/>
    </xf>
    <xf numFmtId="0" fontId="6" fillId="2" borderId="3" xfId="0" applyFont="1" applyFill="1" applyBorder="1" applyAlignment="1">
      <alignment horizontal="center" vertical="top" wrapText="1"/>
    </xf>
    <xf numFmtId="0" fontId="4" fillId="0" borderId="3" xfId="0" applyFont="1" applyBorder="1" applyAlignment="1">
      <alignment horizontal="center" vertical="top" wrapText="1"/>
    </xf>
    <xf numFmtId="0" fontId="3" fillId="0" borderId="4" xfId="0" applyFont="1" applyBorder="1" applyAlignment="1">
      <alignment horizontal="center" vertical="top" wrapText="1"/>
    </xf>
    <xf numFmtId="0" fontId="4" fillId="0" borderId="4" xfId="0" applyFont="1" applyBorder="1" applyAlignment="1">
      <alignment horizontal="center" vertical="top" wrapText="1"/>
    </xf>
    <xf numFmtId="0" fontId="4" fillId="0" borderId="4" xfId="0" applyFont="1" applyBorder="1" applyAlignment="1">
      <alignment horizontal="left" vertical="top" wrapText="1"/>
    </xf>
    <xf numFmtId="0" fontId="6" fillId="6" borderId="1" xfId="0" applyFont="1" applyFill="1" applyBorder="1" applyAlignment="1">
      <alignment horizontal="center" vertical="center" wrapText="1"/>
    </xf>
    <xf numFmtId="0" fontId="2" fillId="0" borderId="1" xfId="0" applyFont="1" applyBorder="1" applyAlignment="1">
      <alignment horizontal="center" vertical="top" wrapText="1"/>
    </xf>
    <xf numFmtId="0" fontId="7" fillId="0" borderId="0" xfId="0" applyFont="1" applyAlignment="1">
      <alignment horizontal="center" vertical="top" wrapText="1"/>
    </xf>
    <xf numFmtId="0" fontId="2" fillId="0" borderId="0" xfId="0" applyFont="1" applyAlignment="1">
      <alignment horizontal="center"/>
    </xf>
    <xf numFmtId="0" fontId="1" fillId="0" borderId="0" xfId="0" applyFont="1" applyAlignment="1">
      <alignment horizontal="center"/>
    </xf>
    <xf numFmtId="0" fontId="4" fillId="0" borderId="0" xfId="0" applyFont="1" applyAlignment="1">
      <alignment horizontal="center" vertical="top" wrapText="1"/>
    </xf>
    <xf numFmtId="0" fontId="2" fillId="0" borderId="0" xfId="0" applyFont="1" applyAlignment="1">
      <alignment horizontal="center" wrapText="1"/>
    </xf>
    <xf numFmtId="0" fontId="1" fillId="0" borderId="0" xfId="0" applyFont="1" applyAlignment="1">
      <alignment horizontal="center" wrapText="1"/>
    </xf>
    <xf numFmtId="0" fontId="4" fillId="0" borderId="1" xfId="0" applyFont="1" applyBorder="1" applyAlignment="1">
      <alignment horizontal="left" vertical="top" wrapText="1"/>
    </xf>
    <xf numFmtId="0" fontId="0" fillId="0" borderId="2" xfId="0" applyBorder="1"/>
    <xf numFmtId="0" fontId="0" fillId="0" borderId="3" xfId="0" applyBorder="1"/>
    <xf numFmtId="0" fontId="5" fillId="7" borderId="1" xfId="0" applyFont="1" applyFill="1" applyBorder="1" applyAlignment="1">
      <alignment horizontal="center" vertical="center"/>
    </xf>
    <xf numFmtId="0" fontId="2" fillId="7" borderId="1" xfId="0" applyFont="1" applyFill="1" applyBorder="1" applyAlignment="1">
      <alignment horizontal="center"/>
    </xf>
    <xf numFmtId="0" fontId="1" fillId="0" borderId="1" xfId="0" applyFont="1" applyBorder="1" applyAlignment="1">
      <alignment horizontal="center"/>
    </xf>
    <xf numFmtId="0" fontId="2" fillId="0" borderId="1" xfId="0" applyFont="1" applyBorder="1" applyAlignment="1">
      <alignment horizontal="center"/>
    </xf>
    <xf numFmtId="0" fontId="2" fillId="0" borderId="0" xfId="0" applyFont="1"/>
    <xf numFmtId="0" fontId="7"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D6"/>
      <rgbColor rgb="FFE6F4E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DE8E8"/>
      <rgbColor rgb="FF99CCFF"/>
      <rgbColor rgb="FFFF99CC"/>
      <rgbColor rgb="FFCC99FF"/>
      <rgbColor rgb="FFFFCC99"/>
      <rgbColor rgb="FF3366FF"/>
      <rgbColor rgb="FF33CCCC"/>
      <rgbColor rgb="FF99CC00"/>
      <rgbColor rgb="FFFFCC00"/>
      <rgbColor rgb="FFFF9900"/>
      <rgbColor rgb="FFFF6600"/>
      <rgbColor rgb="FF555555"/>
      <rgbColor rgb="FF999999"/>
      <rgbColor rgb="FF003366"/>
      <rgbColor rgb="FF339966"/>
      <rgbColor rgb="FF003300"/>
      <rgbColor rgb="FF333300"/>
      <rgbColor rgb="FF993300"/>
      <rgbColor rgb="FF993366"/>
      <rgbColor rgb="FF1A4FA0"/>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24"/>
  <sheetViews>
    <sheetView tabSelected="1" zoomScale="125" zoomScaleNormal="125" workbookViewId="0">
      <selection activeCell="A10" sqref="A10"/>
    </sheetView>
  </sheetViews>
  <sheetFormatPr baseColWidth="10" defaultColWidth="8.6640625" defaultRowHeight="18" x14ac:dyDescent="0.2"/>
  <cols>
    <col min="1" max="1" width="36" style="6" customWidth="1"/>
    <col min="2" max="4" width="30" style="6" customWidth="1"/>
    <col min="5" max="5" width="8.6640625" style="6" customWidth="1"/>
    <col min="6" max="16384" width="8.6640625" style="6"/>
  </cols>
  <sheetData>
    <row r="1" spans="1:4" ht="18" customHeight="1" x14ac:dyDescent="0.2">
      <c r="A1" s="39" t="s">
        <v>47</v>
      </c>
      <c r="B1" s="38"/>
      <c r="C1" s="38"/>
      <c r="D1" s="38"/>
    </row>
    <row r="3" spans="1:4" ht="22" customHeight="1" x14ac:dyDescent="0.2">
      <c r="A3" s="7" t="s">
        <v>48</v>
      </c>
      <c r="B3" s="40" t="s">
        <v>49</v>
      </c>
      <c r="C3" s="41"/>
      <c r="D3" s="42"/>
    </row>
    <row r="4" spans="1:4" ht="22" customHeight="1" x14ac:dyDescent="0.2">
      <c r="A4" s="7" t="s">
        <v>50</v>
      </c>
      <c r="B4" s="40" t="s">
        <v>438</v>
      </c>
      <c r="C4" s="41"/>
      <c r="D4" s="42"/>
    </row>
    <row r="5" spans="1:4" ht="38" customHeight="1" x14ac:dyDescent="0.2">
      <c r="A5" s="7" t="s">
        <v>51</v>
      </c>
      <c r="B5" s="40" t="s">
        <v>52</v>
      </c>
      <c r="C5" s="41"/>
      <c r="D5" s="42"/>
    </row>
    <row r="6" spans="1:4" ht="38" customHeight="1" x14ac:dyDescent="0.2">
      <c r="A6" s="7" t="s">
        <v>53</v>
      </c>
      <c r="B6" s="40" t="s">
        <v>54</v>
      </c>
      <c r="C6" s="41"/>
      <c r="D6" s="42"/>
    </row>
    <row r="7" spans="1:4" ht="38" customHeight="1" x14ac:dyDescent="0.2">
      <c r="A7" s="7" t="s">
        <v>55</v>
      </c>
      <c r="B7" s="40" t="s">
        <v>56</v>
      </c>
      <c r="C7" s="41"/>
      <c r="D7" s="42"/>
    </row>
    <row r="9" spans="1:4" ht="19" customHeight="1" x14ac:dyDescent="0.2">
      <c r="A9" s="5" t="s">
        <v>57</v>
      </c>
    </row>
    <row r="10" spans="1:4" ht="19" customHeight="1" x14ac:dyDescent="0.2">
      <c r="A10" s="12" t="s">
        <v>58</v>
      </c>
      <c r="B10" s="7">
        <f>COUNTIF('Đặc tả yêu cầu'!$A$4:$A$19,"REQ-*")</f>
        <v>9</v>
      </c>
    </row>
    <row r="11" spans="1:4" ht="19" customHeight="1" x14ac:dyDescent="0.2">
      <c r="A11" s="12" t="s">
        <v>59</v>
      </c>
      <c r="B11" s="7">
        <f>COUNTIF('Đặc tả yêu cầu'!$A$4:$A$19,"NFR-*")</f>
        <v>2</v>
      </c>
    </row>
    <row r="12" spans="1:4" ht="19" customHeight="1" x14ac:dyDescent="0.2">
      <c r="A12" s="12" t="s">
        <v>60</v>
      </c>
      <c r="B12" s="7">
        <f>COUNTIF('Đặc tả yêu cầu'!$A$4:$A$19,"CON-*")</f>
        <v>5</v>
      </c>
    </row>
    <row r="13" spans="1:4" ht="19" customHeight="1" x14ac:dyDescent="0.2">
      <c r="A13" s="12" t="s">
        <v>61</v>
      </c>
      <c r="B13" s="7">
        <f>COUNTIFS('Đặc tả yêu cầu'!$C$4:$C$19,"HIGH",'Đặc tả yêu cầu'!$A$4:$A$19,"REQ-*")</f>
        <v>5</v>
      </c>
    </row>
    <row r="14" spans="1:4" ht="19" customHeight="1" x14ac:dyDescent="0.2">
      <c r="A14" s="12" t="s">
        <v>62</v>
      </c>
      <c r="B14" s="7">
        <f>COUNTIF('Đặc tả yêu cầu'!$F$4:$F$19,"Vi phạm")</f>
        <v>7</v>
      </c>
    </row>
    <row r="15" spans="1:4" ht="19" customHeight="1" x14ac:dyDescent="0.2">
      <c r="A15" s="12" t="s">
        <v>63</v>
      </c>
      <c r="B15" s="7">
        <f>COUNTIF('Đặc tả yêu cầu'!$G$4:$G$19,"Vi phạm")</f>
        <v>0</v>
      </c>
    </row>
    <row r="16" spans="1:4" ht="19" customHeight="1" x14ac:dyDescent="0.2">
      <c r="A16" s="12" t="s">
        <v>64</v>
      </c>
      <c r="B16" s="7">
        <f>COUNTA('Test case'!$A$4:$A$13)</f>
        <v>10</v>
      </c>
    </row>
    <row r="17" spans="1:4" ht="19" customHeight="1" x14ac:dyDescent="0.2">
      <c r="A17" s="12" t="s">
        <v>65</v>
      </c>
      <c r="B17" s="7">
        <f>COUNTIF('Test case'!$M$4:$M$13,"ĐẠT")</f>
        <v>10</v>
      </c>
    </row>
    <row r="18" spans="1:4" ht="19" customHeight="1" x14ac:dyDescent="0.2">
      <c r="A18" s="12" t="s">
        <v>66</v>
      </c>
      <c r="B18" s="13">
        <f>B17/B16</f>
        <v>1</v>
      </c>
    </row>
    <row r="20" spans="1:4" x14ac:dyDescent="0.2">
      <c r="A20" s="9"/>
    </row>
    <row r="21" spans="1:4" ht="15" customHeight="1" x14ac:dyDescent="0.2">
      <c r="A21" s="10"/>
      <c r="B21" s="37"/>
      <c r="C21" s="38"/>
      <c r="D21" s="38"/>
    </row>
    <row r="22" spans="1:4" ht="15" customHeight="1" x14ac:dyDescent="0.2">
      <c r="A22" s="10"/>
      <c r="B22" s="37"/>
      <c r="C22" s="38"/>
      <c r="D22" s="38"/>
    </row>
    <row r="23" spans="1:4" ht="15" customHeight="1" x14ac:dyDescent="0.2">
      <c r="A23" s="10"/>
      <c r="B23" s="37"/>
      <c r="C23" s="38"/>
      <c r="D23" s="38"/>
    </row>
    <row r="24" spans="1:4" ht="15" customHeight="1" x14ac:dyDescent="0.2">
      <c r="A24" s="10"/>
      <c r="B24" s="37"/>
      <c r="C24" s="38"/>
      <c r="D24" s="38"/>
    </row>
  </sheetData>
  <mergeCells count="10">
    <mergeCell ref="B24:D24"/>
    <mergeCell ref="A1:D1"/>
    <mergeCell ref="B3:D3"/>
    <mergeCell ref="B5:D5"/>
    <mergeCell ref="B23:D23"/>
    <mergeCell ref="B22:D22"/>
    <mergeCell ref="B4:D4"/>
    <mergeCell ref="B21:D21"/>
    <mergeCell ref="B7:D7"/>
    <mergeCell ref="B6:D6"/>
  </mergeCells>
  <pageMargins left="0.75" right="0.75" top="1" bottom="1"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workbookViewId="0">
      <pane ySplit="2" topLeftCell="A3" activePane="bottomLeft" state="frozen"/>
      <selection pane="bottomLeft" activeCell="A13" sqref="A13"/>
    </sheetView>
  </sheetViews>
  <sheetFormatPr baseColWidth="10" defaultColWidth="8.83203125" defaultRowHeight="15" x14ac:dyDescent="0.2"/>
  <cols>
    <col min="1" max="1" width="28" customWidth="1"/>
    <col min="2" max="2" width="68" customWidth="1"/>
    <col min="3" max="3" width="76" customWidth="1"/>
    <col min="4" max="4" width="38" customWidth="1"/>
  </cols>
  <sheetData>
    <row r="1" spans="1:4" ht="28" customHeight="1" x14ac:dyDescent="0.2">
      <c r="A1" s="43" t="s">
        <v>0</v>
      </c>
      <c r="B1" s="44"/>
      <c r="C1" s="44"/>
      <c r="D1" s="44"/>
    </row>
    <row r="2" spans="1:4" ht="19" x14ac:dyDescent="0.2">
      <c r="A2" s="32" t="s">
        <v>1</v>
      </c>
      <c r="B2" s="32" t="s">
        <v>2</v>
      </c>
      <c r="C2" s="32" t="s">
        <v>3</v>
      </c>
      <c r="D2" s="32" t="s">
        <v>4</v>
      </c>
    </row>
    <row r="3" spans="1:4" ht="58" customHeight="1" x14ac:dyDescent="0.2">
      <c r="A3" s="18" t="s">
        <v>5</v>
      </c>
      <c r="B3" s="33" t="s">
        <v>6</v>
      </c>
      <c r="C3" s="33" t="s">
        <v>7</v>
      </c>
      <c r="D3" s="33" t="s">
        <v>8</v>
      </c>
    </row>
    <row r="4" spans="1:4" ht="58" customHeight="1" x14ac:dyDescent="0.2">
      <c r="A4" s="18" t="s">
        <v>9</v>
      </c>
      <c r="B4" s="33" t="s">
        <v>10</v>
      </c>
      <c r="C4" s="33" t="s">
        <v>11</v>
      </c>
      <c r="D4" s="33" t="s">
        <v>12</v>
      </c>
    </row>
    <row r="5" spans="1:4" ht="58" customHeight="1" x14ac:dyDescent="0.2">
      <c r="A5" s="18" t="s">
        <v>13</v>
      </c>
      <c r="B5" s="33" t="s">
        <v>14</v>
      </c>
      <c r="C5" s="33" t="s">
        <v>15</v>
      </c>
      <c r="D5" s="33" t="s">
        <v>16</v>
      </c>
    </row>
    <row r="6" spans="1:4" ht="58" customHeight="1" x14ac:dyDescent="0.2">
      <c r="A6" s="18" t="s">
        <v>17</v>
      </c>
      <c r="B6" s="33" t="s">
        <v>18</v>
      </c>
      <c r="C6" s="33" t="s">
        <v>19</v>
      </c>
      <c r="D6" s="33" t="s">
        <v>20</v>
      </c>
    </row>
    <row r="7" spans="1:4" ht="58" customHeight="1" x14ac:dyDescent="0.2">
      <c r="A7" s="18" t="s">
        <v>21</v>
      </c>
      <c r="B7" s="33" t="s">
        <v>22</v>
      </c>
      <c r="C7" s="33" t="s">
        <v>23</v>
      </c>
      <c r="D7" s="33" t="s">
        <v>24</v>
      </c>
    </row>
    <row r="8" spans="1:4" ht="58" customHeight="1" x14ac:dyDescent="0.2">
      <c r="A8" s="18" t="s">
        <v>25</v>
      </c>
      <c r="B8" s="33" t="s">
        <v>26</v>
      </c>
      <c r="C8" s="33" t="s">
        <v>27</v>
      </c>
      <c r="D8" s="33" t="s">
        <v>28</v>
      </c>
    </row>
    <row r="9" spans="1:4" ht="58" customHeight="1" x14ac:dyDescent="0.2">
      <c r="A9" s="18" t="s">
        <v>29</v>
      </c>
      <c r="B9" s="33" t="s">
        <v>30</v>
      </c>
      <c r="C9" s="33" t="s">
        <v>31</v>
      </c>
      <c r="D9" s="33" t="s">
        <v>32</v>
      </c>
    </row>
    <row r="10" spans="1:4" ht="58" customHeight="1" x14ac:dyDescent="0.2">
      <c r="A10" s="18" t="s">
        <v>33</v>
      </c>
      <c r="B10" s="33" t="s">
        <v>34</v>
      </c>
      <c r="C10" s="33" t="s">
        <v>35</v>
      </c>
      <c r="D10" s="33" t="s">
        <v>36</v>
      </c>
    </row>
    <row r="11" spans="1:4" ht="58" customHeight="1" x14ac:dyDescent="0.2">
      <c r="A11" s="18" t="s">
        <v>437</v>
      </c>
      <c r="B11" s="33" t="s">
        <v>37</v>
      </c>
      <c r="C11" s="33" t="s">
        <v>38</v>
      </c>
      <c r="D11" s="33" t="s">
        <v>39</v>
      </c>
    </row>
    <row r="12" spans="1:4" ht="58" customHeight="1" x14ac:dyDescent="0.2">
      <c r="A12" s="18" t="s">
        <v>436</v>
      </c>
      <c r="B12" s="33" t="s">
        <v>40</v>
      </c>
      <c r="C12" s="33" t="s">
        <v>41</v>
      </c>
      <c r="D12" s="33" t="s">
        <v>42</v>
      </c>
    </row>
    <row r="13" spans="1:4" ht="58" customHeight="1" x14ac:dyDescent="0.2">
      <c r="A13" s="18" t="s">
        <v>43</v>
      </c>
      <c r="B13" s="33" t="s">
        <v>44</v>
      </c>
      <c r="C13" s="33" t="s">
        <v>45</v>
      </c>
      <c r="D13" s="33" t="s">
        <v>46</v>
      </c>
    </row>
  </sheetData>
  <autoFilter ref="A2:D13" xr:uid="{00000000-0009-0000-0000-000001000000}"/>
  <mergeCells count="1">
    <mergeCell ref="A1:D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21"/>
  <sheetViews>
    <sheetView zoomScale="115" zoomScaleNormal="100" workbookViewId="0">
      <pane ySplit="3" topLeftCell="A4" activePane="bottomLeft" state="frozen"/>
      <selection activeCell="F3" sqref="F3"/>
      <selection pane="bottomLeft" activeCell="F3" sqref="F3"/>
    </sheetView>
  </sheetViews>
  <sheetFormatPr baseColWidth="10" defaultColWidth="8.6640625" defaultRowHeight="18" x14ac:dyDescent="0.2"/>
  <cols>
    <col min="1" max="1" width="14" style="2" customWidth="1"/>
    <col min="2" max="2" width="16" style="2" customWidth="1"/>
    <col min="3" max="3" width="11" style="2" customWidth="1"/>
    <col min="4" max="4" width="70" style="2" customWidth="1"/>
    <col min="5" max="5" width="38" style="2" customWidth="1"/>
    <col min="6" max="7" width="18" style="2" customWidth="1"/>
    <col min="8" max="8" width="8.6640625" style="2" customWidth="1"/>
    <col min="9" max="16384" width="8.6640625" style="2"/>
  </cols>
  <sheetData>
    <row r="1" spans="1:7" x14ac:dyDescent="0.2">
      <c r="A1" s="45" t="s">
        <v>67</v>
      </c>
      <c r="B1" s="46"/>
      <c r="C1" s="46"/>
      <c r="D1" s="46"/>
      <c r="E1" s="35"/>
      <c r="F1" s="35"/>
      <c r="G1" s="35"/>
    </row>
    <row r="2" spans="1:7" x14ac:dyDescent="0.2">
      <c r="A2" s="3"/>
      <c r="B2" s="3"/>
      <c r="C2" s="3"/>
      <c r="D2" s="3"/>
    </row>
    <row r="3" spans="1:7" ht="38" customHeight="1" x14ac:dyDescent="0.2">
      <c r="A3" s="16" t="s">
        <v>68</v>
      </c>
      <c r="B3" s="16" t="s">
        <v>69</v>
      </c>
      <c r="C3" s="16" t="s">
        <v>70</v>
      </c>
      <c r="D3" s="16" t="s">
        <v>2</v>
      </c>
      <c r="E3" s="27" t="s">
        <v>71</v>
      </c>
      <c r="F3" s="16" t="s">
        <v>72</v>
      </c>
      <c r="G3" s="16" t="s">
        <v>73</v>
      </c>
    </row>
    <row r="4" spans="1:7" ht="57" customHeight="1" x14ac:dyDescent="0.2">
      <c r="A4" s="18" t="s">
        <v>74</v>
      </c>
      <c r="B4" s="8" t="s">
        <v>75</v>
      </c>
      <c r="C4" s="8" t="s">
        <v>76</v>
      </c>
      <c r="D4" s="8" t="s">
        <v>77</v>
      </c>
      <c r="E4" s="28" t="s">
        <v>78</v>
      </c>
      <c r="F4" s="24" t="s">
        <v>79</v>
      </c>
      <c r="G4" s="25" t="s">
        <v>80</v>
      </c>
    </row>
    <row r="5" spans="1:7" ht="57" customHeight="1" x14ac:dyDescent="0.2">
      <c r="A5" s="18" t="s">
        <v>81</v>
      </c>
      <c r="B5" s="8" t="s">
        <v>75</v>
      </c>
      <c r="C5" s="8" t="s">
        <v>76</v>
      </c>
      <c r="D5" s="8" t="s">
        <v>82</v>
      </c>
      <c r="E5" s="28" t="s">
        <v>83</v>
      </c>
      <c r="F5" s="24" t="s">
        <v>79</v>
      </c>
      <c r="G5" s="25" t="s">
        <v>80</v>
      </c>
    </row>
    <row r="6" spans="1:7" ht="38" customHeight="1" x14ac:dyDescent="0.2">
      <c r="A6" s="18" t="s">
        <v>84</v>
      </c>
      <c r="B6" s="8" t="s">
        <v>85</v>
      </c>
      <c r="C6" s="8" t="s">
        <v>76</v>
      </c>
      <c r="D6" s="8" t="s">
        <v>86</v>
      </c>
      <c r="E6" s="28" t="s">
        <v>87</v>
      </c>
      <c r="F6" s="24" t="s">
        <v>79</v>
      </c>
      <c r="G6" s="25" t="s">
        <v>80</v>
      </c>
    </row>
    <row r="7" spans="1:7" ht="38" customHeight="1" x14ac:dyDescent="0.2">
      <c r="A7" s="18" t="s">
        <v>88</v>
      </c>
      <c r="B7" s="8" t="s">
        <v>75</v>
      </c>
      <c r="C7" s="8" t="s">
        <v>89</v>
      </c>
      <c r="D7" s="8" t="s">
        <v>90</v>
      </c>
      <c r="E7" s="28" t="s">
        <v>91</v>
      </c>
      <c r="F7" s="24" t="s">
        <v>79</v>
      </c>
      <c r="G7" s="25" t="s">
        <v>80</v>
      </c>
    </row>
    <row r="8" spans="1:7" ht="57" customHeight="1" x14ac:dyDescent="0.2">
      <c r="A8" s="18" t="s">
        <v>92</v>
      </c>
      <c r="B8" s="8" t="s">
        <v>75</v>
      </c>
      <c r="C8" s="8" t="s">
        <v>76</v>
      </c>
      <c r="D8" s="8" t="s">
        <v>93</v>
      </c>
      <c r="E8" s="28" t="s">
        <v>94</v>
      </c>
      <c r="F8" s="24" t="s">
        <v>79</v>
      </c>
      <c r="G8" s="25" t="s">
        <v>80</v>
      </c>
    </row>
    <row r="9" spans="1:7" ht="38" customHeight="1" x14ac:dyDescent="0.2">
      <c r="A9" s="18" t="s">
        <v>95</v>
      </c>
      <c r="B9" s="8" t="s">
        <v>75</v>
      </c>
      <c r="C9" s="8" t="s">
        <v>76</v>
      </c>
      <c r="D9" s="8" t="s">
        <v>96</v>
      </c>
      <c r="E9" s="28" t="s">
        <v>97</v>
      </c>
      <c r="F9" s="24" t="s">
        <v>79</v>
      </c>
      <c r="G9" s="25" t="s">
        <v>80</v>
      </c>
    </row>
    <row r="10" spans="1:7" ht="38" customHeight="1" x14ac:dyDescent="0.2">
      <c r="A10" s="18" t="s">
        <v>98</v>
      </c>
      <c r="B10" s="8" t="s">
        <v>85</v>
      </c>
      <c r="C10" s="8" t="s">
        <v>89</v>
      </c>
      <c r="D10" s="8" t="s">
        <v>99</v>
      </c>
      <c r="E10" s="28" t="s">
        <v>100</v>
      </c>
      <c r="F10" s="24" t="s">
        <v>79</v>
      </c>
      <c r="G10" s="25" t="s">
        <v>80</v>
      </c>
    </row>
    <row r="11" spans="1:7" ht="57" customHeight="1" x14ac:dyDescent="0.2">
      <c r="A11" s="18" t="s">
        <v>101</v>
      </c>
      <c r="B11" s="8" t="s">
        <v>102</v>
      </c>
      <c r="C11" s="8" t="s">
        <v>103</v>
      </c>
      <c r="D11" s="8" t="s">
        <v>104</v>
      </c>
      <c r="E11" s="28" t="s">
        <v>105</v>
      </c>
      <c r="F11" s="25" t="s">
        <v>80</v>
      </c>
      <c r="G11" s="25" t="s">
        <v>80</v>
      </c>
    </row>
    <row r="12" spans="1:7" ht="57" customHeight="1" x14ac:dyDescent="0.2">
      <c r="A12" s="18" t="s">
        <v>106</v>
      </c>
      <c r="B12" s="8" t="s">
        <v>107</v>
      </c>
      <c r="C12" s="8" t="s">
        <v>89</v>
      </c>
      <c r="D12" s="8" t="s">
        <v>108</v>
      </c>
      <c r="E12" s="28" t="s">
        <v>109</v>
      </c>
      <c r="F12" s="25" t="s">
        <v>80</v>
      </c>
      <c r="G12" s="25" t="s">
        <v>80</v>
      </c>
    </row>
    <row r="13" spans="1:7" ht="38" customHeight="1" x14ac:dyDescent="0.2">
      <c r="A13" s="18" t="s">
        <v>110</v>
      </c>
      <c r="B13" s="8" t="s">
        <v>111</v>
      </c>
      <c r="C13" s="8" t="s">
        <v>89</v>
      </c>
      <c r="D13" s="8" t="s">
        <v>112</v>
      </c>
      <c r="E13" s="28" t="s">
        <v>113</v>
      </c>
      <c r="F13" s="25" t="s">
        <v>80</v>
      </c>
      <c r="G13" s="25" t="s">
        <v>80</v>
      </c>
    </row>
    <row r="14" spans="1:7" ht="57" customHeight="1" x14ac:dyDescent="0.2">
      <c r="A14" s="29" t="s">
        <v>114</v>
      </c>
      <c r="B14" s="30" t="s">
        <v>111</v>
      </c>
      <c r="C14" s="30" t="s">
        <v>89</v>
      </c>
      <c r="D14" s="31" t="s">
        <v>115</v>
      </c>
      <c r="E14" s="8" t="s">
        <v>116</v>
      </c>
      <c r="F14" s="26" t="s">
        <v>117</v>
      </c>
      <c r="G14" s="25" t="s">
        <v>80</v>
      </c>
    </row>
    <row r="15" spans="1:7" ht="38" customHeight="1" x14ac:dyDescent="0.2">
      <c r="A15" s="18" t="s">
        <v>118</v>
      </c>
      <c r="B15" s="8" t="s">
        <v>119</v>
      </c>
      <c r="C15" s="8" t="s">
        <v>76</v>
      </c>
      <c r="D15" s="11" t="s">
        <v>120</v>
      </c>
      <c r="E15" s="8" t="s">
        <v>121</v>
      </c>
      <c r="F15" s="8" t="s">
        <v>122</v>
      </c>
      <c r="G15" s="8" t="s">
        <v>122</v>
      </c>
    </row>
    <row r="16" spans="1:7" ht="38" customHeight="1" x14ac:dyDescent="0.2">
      <c r="A16" s="18" t="s">
        <v>123</v>
      </c>
      <c r="B16" s="8" t="s">
        <v>119</v>
      </c>
      <c r="C16" s="8" t="s">
        <v>76</v>
      </c>
      <c r="D16" s="11" t="s">
        <v>124</v>
      </c>
      <c r="E16" s="8" t="s">
        <v>125</v>
      </c>
      <c r="F16" s="8" t="s">
        <v>122</v>
      </c>
      <c r="G16" s="8" t="s">
        <v>122</v>
      </c>
    </row>
    <row r="17" spans="1:7" ht="57" customHeight="1" x14ac:dyDescent="0.2">
      <c r="A17" s="18" t="s">
        <v>126</v>
      </c>
      <c r="B17" s="8" t="s">
        <v>119</v>
      </c>
      <c r="C17" s="8" t="s">
        <v>89</v>
      </c>
      <c r="D17" s="11" t="s">
        <v>127</v>
      </c>
      <c r="E17" s="8" t="s">
        <v>128</v>
      </c>
      <c r="F17" s="8" t="s">
        <v>122</v>
      </c>
      <c r="G17" s="8" t="s">
        <v>122</v>
      </c>
    </row>
    <row r="18" spans="1:7" ht="38" customHeight="1" x14ac:dyDescent="0.2">
      <c r="A18" s="18" t="s">
        <v>129</v>
      </c>
      <c r="B18" s="8" t="s">
        <v>119</v>
      </c>
      <c r="C18" s="8" t="s">
        <v>89</v>
      </c>
      <c r="D18" s="11" t="s">
        <v>130</v>
      </c>
      <c r="E18" s="8" t="s">
        <v>131</v>
      </c>
      <c r="F18" s="8" t="s">
        <v>122</v>
      </c>
      <c r="G18" s="8" t="s">
        <v>122</v>
      </c>
    </row>
    <row r="19" spans="1:7" ht="57" customHeight="1" x14ac:dyDescent="0.2">
      <c r="A19" s="18" t="s">
        <v>132</v>
      </c>
      <c r="B19" s="8" t="s">
        <v>119</v>
      </c>
      <c r="C19" s="8" t="s">
        <v>103</v>
      </c>
      <c r="D19" s="11" t="s">
        <v>133</v>
      </c>
      <c r="E19" s="8" t="s">
        <v>134</v>
      </c>
      <c r="F19" s="8" t="s">
        <v>122</v>
      </c>
      <c r="G19" s="8" t="s">
        <v>122</v>
      </c>
    </row>
    <row r="21" spans="1:7" ht="42" customHeight="1" x14ac:dyDescent="0.2">
      <c r="A21" s="34"/>
      <c r="B21" s="35"/>
      <c r="C21" s="35"/>
      <c r="D21" s="35"/>
      <c r="E21" s="35"/>
      <c r="F21" s="35"/>
      <c r="G21" s="35"/>
    </row>
  </sheetData>
  <mergeCells count="2">
    <mergeCell ref="A21:G21"/>
    <mergeCell ref="A1:G1"/>
  </mergeCells>
  <pageMargins left="0.75" right="0.75" top="1" bottom="1"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13"/>
  <sheetViews>
    <sheetView zoomScale="107" zoomScaleNormal="100" workbookViewId="0">
      <pane ySplit="3" topLeftCell="A4" activePane="bottomLeft" state="frozen"/>
      <selection pane="bottomLeft" sqref="A1:I1"/>
    </sheetView>
  </sheetViews>
  <sheetFormatPr baseColWidth="10" defaultColWidth="8.6640625" defaultRowHeight="18" x14ac:dyDescent="0.2"/>
  <cols>
    <col min="1" max="1" width="18" style="1" customWidth="1"/>
    <col min="2" max="2" width="22" style="1" customWidth="1"/>
    <col min="3" max="3" width="10" style="1" customWidth="1"/>
    <col min="4" max="4" width="20" style="1" customWidth="1"/>
    <col min="5" max="5" width="24" style="1" customWidth="1"/>
    <col min="6" max="6" width="60" style="1" customWidth="1"/>
    <col min="7" max="7" width="24" style="1" customWidth="1"/>
    <col min="8" max="8" width="36" style="1" customWidth="1"/>
    <col min="9" max="9" width="24.33203125" style="1" customWidth="1"/>
    <col min="10" max="10" width="8.6640625" style="1" customWidth="1"/>
    <col min="11" max="16384" width="8.6640625" style="1"/>
  </cols>
  <sheetData>
    <row r="1" spans="1:9" x14ac:dyDescent="0.2">
      <c r="A1" s="36" t="s">
        <v>135</v>
      </c>
      <c r="B1" s="35"/>
      <c r="C1" s="35"/>
      <c r="D1" s="35"/>
      <c r="E1" s="35"/>
      <c r="F1" s="35"/>
      <c r="G1" s="35"/>
      <c r="H1" s="35"/>
      <c r="I1" s="35"/>
    </row>
    <row r="3" spans="1:9" ht="38" customHeight="1" x14ac:dyDescent="0.2">
      <c r="A3" s="16" t="s">
        <v>136</v>
      </c>
      <c r="B3" s="16" t="s">
        <v>137</v>
      </c>
      <c r="C3" s="16" t="s">
        <v>138</v>
      </c>
      <c r="D3" s="16" t="s">
        <v>139</v>
      </c>
      <c r="E3" s="16" t="s">
        <v>140</v>
      </c>
      <c r="F3" s="16" t="s">
        <v>141</v>
      </c>
      <c r="G3" s="16" t="s">
        <v>142</v>
      </c>
      <c r="H3" s="16" t="s">
        <v>143</v>
      </c>
      <c r="I3" s="16" t="s">
        <v>144</v>
      </c>
    </row>
    <row r="4" spans="1:9" ht="38" customHeight="1" x14ac:dyDescent="0.2">
      <c r="A4" s="8" t="s">
        <v>145</v>
      </c>
      <c r="B4" s="8" t="s">
        <v>146</v>
      </c>
      <c r="C4" s="8" t="s">
        <v>147</v>
      </c>
      <c r="D4" s="8" t="s">
        <v>148</v>
      </c>
      <c r="E4" s="8" t="s">
        <v>149</v>
      </c>
      <c r="F4" s="8" t="s">
        <v>150</v>
      </c>
      <c r="G4" s="8" t="s">
        <v>151</v>
      </c>
      <c r="H4" s="8" t="s">
        <v>152</v>
      </c>
      <c r="I4" s="8" t="s">
        <v>153</v>
      </c>
    </row>
    <row r="5" spans="1:9" ht="19" customHeight="1" x14ac:dyDescent="0.2">
      <c r="A5" s="8" t="s">
        <v>146</v>
      </c>
      <c r="B5" s="8" t="s">
        <v>146</v>
      </c>
      <c r="C5" s="8" t="s">
        <v>154</v>
      </c>
      <c r="D5" s="8" t="s">
        <v>155</v>
      </c>
      <c r="E5" s="8" t="s">
        <v>156</v>
      </c>
      <c r="F5" s="8" t="s">
        <v>157</v>
      </c>
      <c r="G5" s="8" t="s">
        <v>158</v>
      </c>
      <c r="H5" s="8" t="s">
        <v>159</v>
      </c>
      <c r="I5" s="8" t="s">
        <v>84</v>
      </c>
    </row>
    <row r="6" spans="1:9" ht="19" customHeight="1" x14ac:dyDescent="0.2">
      <c r="A6" s="8" t="s">
        <v>160</v>
      </c>
      <c r="B6" s="8" t="s">
        <v>146</v>
      </c>
      <c r="C6" s="8" t="s">
        <v>154</v>
      </c>
      <c r="D6" s="8" t="s">
        <v>161</v>
      </c>
      <c r="E6" s="8" t="s">
        <v>156</v>
      </c>
      <c r="F6" s="8" t="s">
        <v>162</v>
      </c>
      <c r="G6" s="8" t="s">
        <v>158</v>
      </c>
      <c r="H6" s="8" t="s">
        <v>159</v>
      </c>
      <c r="I6" s="8" t="s">
        <v>84</v>
      </c>
    </row>
    <row r="7" spans="1:9" ht="19" customHeight="1" x14ac:dyDescent="0.2">
      <c r="A7" s="8" t="s">
        <v>163</v>
      </c>
      <c r="B7" s="8" t="s">
        <v>146</v>
      </c>
      <c r="C7" s="8" t="s">
        <v>154</v>
      </c>
      <c r="D7" s="8" t="s">
        <v>164</v>
      </c>
      <c r="E7" s="8" t="s">
        <v>156</v>
      </c>
      <c r="F7" s="8" t="s">
        <v>165</v>
      </c>
      <c r="G7" s="8" t="s">
        <v>166</v>
      </c>
      <c r="H7" s="8" t="s">
        <v>167</v>
      </c>
      <c r="I7" s="8" t="s">
        <v>98</v>
      </c>
    </row>
    <row r="8" spans="1:9" ht="19" customHeight="1" x14ac:dyDescent="0.2">
      <c r="A8" s="8" t="s">
        <v>168</v>
      </c>
      <c r="B8" s="8" t="s">
        <v>146</v>
      </c>
      <c r="C8" s="8" t="s">
        <v>154</v>
      </c>
      <c r="D8" s="8" t="s">
        <v>169</v>
      </c>
      <c r="E8" s="8" t="s">
        <v>156</v>
      </c>
      <c r="F8" s="8" t="s">
        <v>170</v>
      </c>
      <c r="G8" s="8" t="s">
        <v>166</v>
      </c>
      <c r="H8" s="8" t="s">
        <v>167</v>
      </c>
      <c r="I8" s="8" t="s">
        <v>98</v>
      </c>
    </row>
    <row r="9" spans="1:9" ht="38" customHeight="1" x14ac:dyDescent="0.2">
      <c r="A9" s="8" t="s">
        <v>171</v>
      </c>
      <c r="B9" s="8" t="s">
        <v>172</v>
      </c>
      <c r="C9" s="8" t="s">
        <v>173</v>
      </c>
      <c r="D9" s="8" t="s">
        <v>174</v>
      </c>
      <c r="E9" s="8" t="s">
        <v>122</v>
      </c>
      <c r="F9" s="8" t="s">
        <v>175</v>
      </c>
      <c r="G9" s="8" t="s">
        <v>176</v>
      </c>
      <c r="H9" s="8" t="s">
        <v>177</v>
      </c>
      <c r="I9" s="8" t="s">
        <v>74</v>
      </c>
    </row>
    <row r="10" spans="1:9" ht="38" customHeight="1" x14ac:dyDescent="0.2">
      <c r="A10" s="8" t="s">
        <v>178</v>
      </c>
      <c r="B10" s="8" t="s">
        <v>174</v>
      </c>
      <c r="C10" s="8" t="s">
        <v>179</v>
      </c>
      <c r="D10" s="8" t="s">
        <v>180</v>
      </c>
      <c r="E10" s="8" t="s">
        <v>181</v>
      </c>
      <c r="F10" s="8" t="s">
        <v>182</v>
      </c>
      <c r="G10" s="8" t="s">
        <v>183</v>
      </c>
      <c r="H10" s="8" t="s">
        <v>184</v>
      </c>
      <c r="I10" s="8" t="s">
        <v>74</v>
      </c>
    </row>
    <row r="11" spans="1:9" ht="57" customHeight="1" x14ac:dyDescent="0.2">
      <c r="A11" s="8" t="s">
        <v>185</v>
      </c>
      <c r="B11" s="8" t="s">
        <v>186</v>
      </c>
      <c r="C11" s="8" t="s">
        <v>179</v>
      </c>
      <c r="D11" s="8" t="s">
        <v>187</v>
      </c>
      <c r="E11" s="8" t="s">
        <v>122</v>
      </c>
      <c r="F11" s="8" t="s">
        <v>188</v>
      </c>
      <c r="G11" s="8" t="s">
        <v>189</v>
      </c>
      <c r="H11" s="8" t="s">
        <v>190</v>
      </c>
      <c r="I11" s="8" t="s">
        <v>191</v>
      </c>
    </row>
    <row r="13" spans="1:9" ht="20" customHeight="1" x14ac:dyDescent="0.2">
      <c r="A13" s="48"/>
      <c r="B13" s="47"/>
      <c r="C13" s="47"/>
      <c r="D13" s="47"/>
      <c r="E13" s="47"/>
      <c r="F13" s="47"/>
      <c r="G13" s="47"/>
      <c r="H13" s="47"/>
      <c r="I13" s="47"/>
    </row>
  </sheetData>
  <mergeCells count="2">
    <mergeCell ref="A1:I1"/>
    <mergeCell ref="A13:I13"/>
  </mergeCells>
  <pageMargins left="0.75" right="0.75" top="1" bottom="1"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15"/>
  <sheetViews>
    <sheetView zoomScale="75" zoomScaleNormal="100" workbookViewId="0">
      <pane ySplit="3" topLeftCell="A4" activePane="bottomLeft" state="frozen"/>
      <selection pane="bottomLeft" sqref="A1:J1"/>
    </sheetView>
  </sheetViews>
  <sheetFormatPr baseColWidth="10" defaultColWidth="8.6640625" defaultRowHeight="18" x14ac:dyDescent="0.2"/>
  <cols>
    <col min="1" max="1" width="26" style="1" customWidth="1"/>
    <col min="2" max="2" width="10" style="1" customWidth="1"/>
    <col min="3" max="3" width="34" style="1" customWidth="1"/>
    <col min="4" max="4" width="32" style="1" customWidth="1"/>
    <col min="5" max="5" width="38" style="1" customWidth="1"/>
    <col min="6" max="6" width="46" style="1" customWidth="1"/>
    <col min="7" max="7" width="32" style="1" customWidth="1"/>
    <col min="8" max="9" width="16" style="1" customWidth="1"/>
    <col min="10" max="10" width="12" style="1" customWidth="1"/>
    <col min="11" max="11" width="8.6640625" style="1" customWidth="1"/>
    <col min="12" max="16384" width="8.6640625" style="1"/>
  </cols>
  <sheetData>
    <row r="1" spans="1:10" x14ac:dyDescent="0.2">
      <c r="A1" s="36" t="s">
        <v>192</v>
      </c>
      <c r="B1" s="35"/>
      <c r="C1" s="35"/>
      <c r="D1" s="35"/>
      <c r="E1" s="35"/>
      <c r="F1" s="35"/>
      <c r="G1" s="35"/>
      <c r="H1" s="35"/>
      <c r="I1" s="35"/>
      <c r="J1" s="35"/>
    </row>
    <row r="3" spans="1:10" ht="38" customHeight="1" x14ac:dyDescent="0.2">
      <c r="A3" s="16" t="s">
        <v>193</v>
      </c>
      <c r="B3" s="16" t="s">
        <v>194</v>
      </c>
      <c r="C3" s="16" t="s">
        <v>195</v>
      </c>
      <c r="D3" s="16" t="s">
        <v>196</v>
      </c>
      <c r="E3" s="16" t="s">
        <v>197</v>
      </c>
      <c r="F3" s="16" t="s">
        <v>198</v>
      </c>
      <c r="G3" s="16" t="s">
        <v>199</v>
      </c>
      <c r="H3" s="16" t="s">
        <v>200</v>
      </c>
      <c r="I3" s="16" t="s">
        <v>201</v>
      </c>
      <c r="J3" s="16" t="s">
        <v>202</v>
      </c>
    </row>
    <row r="4" spans="1:10" ht="57" customHeight="1" x14ac:dyDescent="0.2">
      <c r="A4" s="8" t="s">
        <v>184</v>
      </c>
      <c r="B4" s="8" t="s">
        <v>203</v>
      </c>
      <c r="C4" s="8" t="s">
        <v>204</v>
      </c>
      <c r="D4" s="8" t="s">
        <v>205</v>
      </c>
      <c r="E4" s="11" t="s">
        <v>206</v>
      </c>
      <c r="F4" s="11" t="s">
        <v>207</v>
      </c>
      <c r="G4" s="8" t="s">
        <v>208</v>
      </c>
      <c r="H4" s="8" t="s">
        <v>209</v>
      </c>
      <c r="I4" s="8" t="s">
        <v>210</v>
      </c>
      <c r="J4" s="8" t="s">
        <v>211</v>
      </c>
    </row>
    <row r="5" spans="1:10" ht="57" customHeight="1" x14ac:dyDescent="0.2">
      <c r="A5" s="8" t="s">
        <v>212</v>
      </c>
      <c r="B5" s="8" t="s">
        <v>213</v>
      </c>
      <c r="C5" s="8" t="s">
        <v>214</v>
      </c>
      <c r="D5" s="8" t="s">
        <v>215</v>
      </c>
      <c r="E5" s="11" t="s">
        <v>216</v>
      </c>
      <c r="F5" s="11" t="s">
        <v>217</v>
      </c>
      <c r="G5" s="8" t="s">
        <v>218</v>
      </c>
      <c r="H5" s="8" t="s">
        <v>219</v>
      </c>
      <c r="I5" s="8" t="s">
        <v>220</v>
      </c>
      <c r="J5" s="8" t="s">
        <v>221</v>
      </c>
    </row>
    <row r="6" spans="1:10" ht="57" customHeight="1" x14ac:dyDescent="0.2">
      <c r="A6" s="8" t="s">
        <v>222</v>
      </c>
      <c r="B6" s="8" t="s">
        <v>223</v>
      </c>
      <c r="C6" s="8" t="s">
        <v>224</v>
      </c>
      <c r="D6" s="8" t="s">
        <v>225</v>
      </c>
      <c r="E6" s="11" t="s">
        <v>226</v>
      </c>
      <c r="F6" s="11" t="s">
        <v>227</v>
      </c>
      <c r="G6" s="8" t="s">
        <v>228</v>
      </c>
      <c r="H6" s="8" t="s">
        <v>92</v>
      </c>
      <c r="I6" s="8" t="s">
        <v>229</v>
      </c>
      <c r="J6" s="8" t="s">
        <v>230</v>
      </c>
    </row>
    <row r="7" spans="1:10" ht="38" customHeight="1" x14ac:dyDescent="0.2">
      <c r="A7" s="8" t="s">
        <v>231</v>
      </c>
      <c r="B7" s="8" t="s">
        <v>232</v>
      </c>
      <c r="C7" s="8" t="s">
        <v>224</v>
      </c>
      <c r="D7" s="8" t="s">
        <v>233</v>
      </c>
      <c r="E7" s="11" t="s">
        <v>234</v>
      </c>
      <c r="F7" s="11" t="s">
        <v>235</v>
      </c>
      <c r="G7" s="8" t="s">
        <v>236</v>
      </c>
      <c r="H7" s="8" t="s">
        <v>95</v>
      </c>
      <c r="I7" s="8" t="s">
        <v>237</v>
      </c>
      <c r="J7" s="8" t="s">
        <v>238</v>
      </c>
    </row>
    <row r="8" spans="1:10" ht="57" customHeight="1" x14ac:dyDescent="0.2">
      <c r="A8" s="8" t="s">
        <v>239</v>
      </c>
      <c r="B8" s="8" t="s">
        <v>240</v>
      </c>
      <c r="C8" s="8" t="s">
        <v>241</v>
      </c>
      <c r="D8" s="8" t="s">
        <v>242</v>
      </c>
      <c r="E8" s="11" t="s">
        <v>243</v>
      </c>
      <c r="F8" s="11" t="s">
        <v>244</v>
      </c>
      <c r="G8" s="8" t="s">
        <v>245</v>
      </c>
      <c r="H8" s="8" t="s">
        <v>81</v>
      </c>
      <c r="I8" s="8" t="s">
        <v>246</v>
      </c>
      <c r="J8" s="8" t="s">
        <v>211</v>
      </c>
    </row>
    <row r="9" spans="1:10" ht="38" customHeight="1" x14ac:dyDescent="0.2">
      <c r="A9" s="8" t="s">
        <v>159</v>
      </c>
      <c r="B9" s="8" t="s">
        <v>247</v>
      </c>
      <c r="C9" s="8" t="s">
        <v>248</v>
      </c>
      <c r="D9" s="8" t="s">
        <v>249</v>
      </c>
      <c r="E9" s="11" t="s">
        <v>250</v>
      </c>
      <c r="F9" s="11" t="s">
        <v>251</v>
      </c>
      <c r="G9" s="8" t="s">
        <v>252</v>
      </c>
      <c r="H9" s="8" t="s">
        <v>253</v>
      </c>
      <c r="I9" s="8" t="s">
        <v>254</v>
      </c>
      <c r="J9" s="8" t="s">
        <v>255</v>
      </c>
    </row>
    <row r="10" spans="1:10" ht="57" customHeight="1" x14ac:dyDescent="0.2">
      <c r="A10" s="8" t="s">
        <v>167</v>
      </c>
      <c r="B10" s="8" t="s">
        <v>256</v>
      </c>
      <c r="C10" s="8" t="s">
        <v>257</v>
      </c>
      <c r="D10" s="8" t="s">
        <v>258</v>
      </c>
      <c r="E10" s="11" t="s">
        <v>259</v>
      </c>
      <c r="F10" s="11" t="s">
        <v>260</v>
      </c>
      <c r="G10" s="8" t="s">
        <v>261</v>
      </c>
      <c r="H10" s="8" t="s">
        <v>262</v>
      </c>
      <c r="I10" s="8" t="s">
        <v>263</v>
      </c>
      <c r="J10" s="8" t="s">
        <v>264</v>
      </c>
    </row>
    <row r="11" spans="1:10" ht="57" customHeight="1" x14ac:dyDescent="0.2">
      <c r="A11" s="8" t="s">
        <v>265</v>
      </c>
      <c r="B11" s="8" t="s">
        <v>266</v>
      </c>
      <c r="C11" s="8" t="s">
        <v>267</v>
      </c>
      <c r="D11" s="8" t="s">
        <v>268</v>
      </c>
      <c r="E11" s="11" t="s">
        <v>269</v>
      </c>
      <c r="F11" s="11" t="s">
        <v>270</v>
      </c>
      <c r="G11" s="8" t="s">
        <v>271</v>
      </c>
      <c r="H11" s="8" t="s">
        <v>126</v>
      </c>
      <c r="I11" s="8" t="s">
        <v>122</v>
      </c>
      <c r="J11" s="8" t="s">
        <v>122</v>
      </c>
    </row>
    <row r="12" spans="1:10" ht="57" customHeight="1" x14ac:dyDescent="0.2">
      <c r="A12" s="8" t="s">
        <v>177</v>
      </c>
      <c r="B12" s="8" t="s">
        <v>272</v>
      </c>
      <c r="C12" s="8" t="s">
        <v>273</v>
      </c>
      <c r="D12" s="8" t="s">
        <v>274</v>
      </c>
      <c r="E12" s="11" t="s">
        <v>275</v>
      </c>
      <c r="F12" s="11" t="s">
        <v>276</v>
      </c>
      <c r="G12" s="8" t="s">
        <v>277</v>
      </c>
      <c r="H12" s="8" t="s">
        <v>278</v>
      </c>
      <c r="I12" s="8" t="s">
        <v>279</v>
      </c>
      <c r="J12" s="8" t="s">
        <v>280</v>
      </c>
    </row>
    <row r="13" spans="1:10" ht="57" customHeight="1" x14ac:dyDescent="0.2">
      <c r="A13" s="8" t="s">
        <v>281</v>
      </c>
      <c r="B13" s="8" t="s">
        <v>282</v>
      </c>
      <c r="C13" s="8" t="s">
        <v>283</v>
      </c>
      <c r="D13" s="8" t="s">
        <v>284</v>
      </c>
      <c r="E13" s="11" t="s">
        <v>285</v>
      </c>
      <c r="F13" s="11" t="s">
        <v>286</v>
      </c>
      <c r="G13" s="8" t="s">
        <v>271</v>
      </c>
      <c r="H13" s="8" t="s">
        <v>287</v>
      </c>
      <c r="I13" s="8" t="s">
        <v>122</v>
      </c>
      <c r="J13" s="8" t="s">
        <v>122</v>
      </c>
    </row>
    <row r="15" spans="1:10" ht="42" customHeight="1" x14ac:dyDescent="0.2">
      <c r="A15" s="48"/>
      <c r="B15" s="47"/>
      <c r="C15" s="47"/>
      <c r="D15" s="47"/>
      <c r="E15" s="47"/>
      <c r="F15" s="47"/>
      <c r="G15" s="47"/>
      <c r="H15" s="47"/>
      <c r="I15" s="47"/>
      <c r="J15" s="47"/>
    </row>
  </sheetData>
  <mergeCells count="2">
    <mergeCell ref="A1:J1"/>
    <mergeCell ref="A15:J15"/>
  </mergeCells>
  <pageMargins left="0.75" right="0.75" top="1" bottom="1"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M15"/>
  <sheetViews>
    <sheetView zoomScale="88" zoomScaleNormal="100" workbookViewId="0">
      <pane ySplit="3" topLeftCell="A4" activePane="bottomLeft" state="frozen"/>
      <selection pane="bottomLeft" activeCell="F10" sqref="F10"/>
    </sheetView>
  </sheetViews>
  <sheetFormatPr baseColWidth="10" defaultColWidth="8.6640625" defaultRowHeight="18" x14ac:dyDescent="0.2"/>
  <cols>
    <col min="1" max="1" width="8" style="1" customWidth="1"/>
    <col min="2" max="2" width="10" style="1" customWidth="1"/>
    <col min="3" max="3" width="38" style="1" customWidth="1"/>
    <col min="4" max="4" width="14" style="1" customWidth="1"/>
    <col min="5" max="5" width="44" style="1" customWidth="1"/>
    <col min="6" max="6" width="32" style="1" customWidth="1"/>
    <col min="7" max="7" width="38" style="1" customWidth="1"/>
    <col min="8" max="8" width="42" style="1" customWidth="1"/>
    <col min="9" max="13" width="14" style="1" customWidth="1"/>
    <col min="14" max="14" width="8.6640625" style="1" customWidth="1"/>
    <col min="15" max="16384" width="8.6640625" style="1"/>
  </cols>
  <sheetData>
    <row r="1" spans="1:13" x14ac:dyDescent="0.2">
      <c r="A1" s="36" t="s">
        <v>288</v>
      </c>
      <c r="B1" s="35"/>
      <c r="C1" s="35"/>
      <c r="D1" s="35"/>
      <c r="E1" s="35"/>
      <c r="F1" s="35"/>
      <c r="G1" s="35"/>
      <c r="H1" s="35"/>
      <c r="I1" s="35"/>
      <c r="J1" s="35"/>
      <c r="K1" s="35"/>
      <c r="L1" s="35"/>
      <c r="M1" s="35"/>
    </row>
    <row r="3" spans="1:13" ht="38" customHeight="1" x14ac:dyDescent="0.2">
      <c r="A3" s="16" t="s">
        <v>289</v>
      </c>
      <c r="B3" s="16" t="s">
        <v>70</v>
      </c>
      <c r="C3" s="16" t="s">
        <v>290</v>
      </c>
      <c r="D3" s="16" t="s">
        <v>291</v>
      </c>
      <c r="E3" s="16" t="s">
        <v>292</v>
      </c>
      <c r="F3" s="16" t="s">
        <v>293</v>
      </c>
      <c r="G3" s="16" t="s">
        <v>294</v>
      </c>
      <c r="H3" s="16" t="s">
        <v>295</v>
      </c>
      <c r="I3" s="16" t="s">
        <v>296</v>
      </c>
      <c r="J3" s="16" t="s">
        <v>297</v>
      </c>
      <c r="K3" s="16" t="s">
        <v>298</v>
      </c>
      <c r="L3" s="16" t="s">
        <v>299</v>
      </c>
      <c r="M3" s="16" t="s">
        <v>300</v>
      </c>
    </row>
    <row r="4" spans="1:13" ht="57" customHeight="1" x14ac:dyDescent="0.2">
      <c r="A4" s="18" t="s">
        <v>301</v>
      </c>
      <c r="B4" s="8" t="s">
        <v>76</v>
      </c>
      <c r="C4" s="8" t="s">
        <v>302</v>
      </c>
      <c r="D4" s="8" t="s">
        <v>74</v>
      </c>
      <c r="E4" s="11" t="s">
        <v>303</v>
      </c>
      <c r="F4" s="8" t="s">
        <v>304</v>
      </c>
      <c r="G4" s="8" t="s">
        <v>305</v>
      </c>
      <c r="H4" s="11" t="s">
        <v>306</v>
      </c>
      <c r="I4" s="8" t="s">
        <v>307</v>
      </c>
      <c r="J4" s="8" t="s">
        <v>308</v>
      </c>
      <c r="K4" s="8" t="s">
        <v>307</v>
      </c>
      <c r="L4" s="8" t="s">
        <v>308</v>
      </c>
      <c r="M4" s="18" t="str">
        <f t="shared" ref="M4:M13" si="0">IF(AND(I4=K4,J4=L4),"ĐẠT","KHÔNG ĐẠT")</f>
        <v>ĐẠT</v>
      </c>
    </row>
    <row r="5" spans="1:13" ht="57" customHeight="1" x14ac:dyDescent="0.2">
      <c r="A5" s="18" t="s">
        <v>309</v>
      </c>
      <c r="B5" s="8" t="s">
        <v>76</v>
      </c>
      <c r="C5" s="8" t="s">
        <v>310</v>
      </c>
      <c r="D5" s="8" t="s">
        <v>81</v>
      </c>
      <c r="E5" s="11" t="s">
        <v>311</v>
      </c>
      <c r="F5" s="8" t="s">
        <v>312</v>
      </c>
      <c r="G5" s="8" t="s">
        <v>313</v>
      </c>
      <c r="H5" s="11" t="s">
        <v>314</v>
      </c>
      <c r="I5" s="8" t="s">
        <v>307</v>
      </c>
      <c r="J5" s="8" t="s">
        <v>308</v>
      </c>
      <c r="K5" s="8" t="s">
        <v>307</v>
      </c>
      <c r="L5" s="8" t="s">
        <v>308</v>
      </c>
      <c r="M5" s="18" t="str">
        <f t="shared" si="0"/>
        <v>ĐẠT</v>
      </c>
    </row>
    <row r="6" spans="1:13" ht="38" customHeight="1" x14ac:dyDescent="0.2">
      <c r="A6" s="18" t="s">
        <v>315</v>
      </c>
      <c r="B6" s="8" t="s">
        <v>76</v>
      </c>
      <c r="C6" s="8" t="s">
        <v>316</v>
      </c>
      <c r="D6" s="8" t="s">
        <v>84</v>
      </c>
      <c r="E6" s="11" t="s">
        <v>317</v>
      </c>
      <c r="F6" s="8" t="s">
        <v>318</v>
      </c>
      <c r="G6" s="8" t="s">
        <v>319</v>
      </c>
      <c r="H6" s="11" t="s">
        <v>320</v>
      </c>
      <c r="I6" s="8" t="s">
        <v>307</v>
      </c>
      <c r="J6" s="8" t="s">
        <v>308</v>
      </c>
      <c r="K6" s="8" t="s">
        <v>307</v>
      </c>
      <c r="L6" s="8" t="s">
        <v>308</v>
      </c>
      <c r="M6" s="18" t="str">
        <f t="shared" si="0"/>
        <v>ĐẠT</v>
      </c>
    </row>
    <row r="7" spans="1:13" ht="38" customHeight="1" x14ac:dyDescent="0.2">
      <c r="A7" s="18" t="s">
        <v>321</v>
      </c>
      <c r="B7" s="8" t="s">
        <v>89</v>
      </c>
      <c r="C7" s="8" t="s">
        <v>322</v>
      </c>
      <c r="D7" s="8" t="s">
        <v>88</v>
      </c>
      <c r="E7" s="11" t="s">
        <v>323</v>
      </c>
      <c r="F7" s="8" t="s">
        <v>324</v>
      </c>
      <c r="G7" s="8" t="s">
        <v>325</v>
      </c>
      <c r="H7" s="11" t="s">
        <v>326</v>
      </c>
      <c r="I7" s="8" t="s">
        <v>307</v>
      </c>
      <c r="J7" s="8" t="s">
        <v>308</v>
      </c>
      <c r="K7" s="8" t="s">
        <v>307</v>
      </c>
      <c r="L7" s="8" t="s">
        <v>308</v>
      </c>
      <c r="M7" s="18" t="str">
        <f t="shared" si="0"/>
        <v>ĐẠT</v>
      </c>
    </row>
    <row r="8" spans="1:13" ht="57" customHeight="1" x14ac:dyDescent="0.2">
      <c r="A8" s="18" t="s">
        <v>327</v>
      </c>
      <c r="B8" s="8" t="s">
        <v>76</v>
      </c>
      <c r="C8" s="8" t="s">
        <v>328</v>
      </c>
      <c r="D8" s="8" t="s">
        <v>92</v>
      </c>
      <c r="E8" s="11" t="s">
        <v>329</v>
      </c>
      <c r="F8" s="8" t="s">
        <v>330</v>
      </c>
      <c r="G8" s="8" t="s">
        <v>331</v>
      </c>
      <c r="H8" s="11" t="s">
        <v>332</v>
      </c>
      <c r="I8" s="8" t="s">
        <v>307</v>
      </c>
      <c r="J8" s="8" t="s">
        <v>308</v>
      </c>
      <c r="K8" s="8" t="s">
        <v>307</v>
      </c>
      <c r="L8" s="8" t="s">
        <v>308</v>
      </c>
      <c r="M8" s="18" t="str">
        <f t="shared" si="0"/>
        <v>ĐẠT</v>
      </c>
    </row>
    <row r="9" spans="1:13" ht="57" customHeight="1" x14ac:dyDescent="0.2">
      <c r="A9" s="18" t="s">
        <v>333</v>
      </c>
      <c r="B9" s="8" t="s">
        <v>76</v>
      </c>
      <c r="C9" s="8" t="s">
        <v>334</v>
      </c>
      <c r="D9" s="8" t="s">
        <v>95</v>
      </c>
      <c r="E9" s="11" t="s">
        <v>335</v>
      </c>
      <c r="F9" s="8" t="s">
        <v>336</v>
      </c>
      <c r="G9" s="8" t="s">
        <v>337</v>
      </c>
      <c r="H9" s="11" t="s">
        <v>338</v>
      </c>
      <c r="I9" s="8" t="s">
        <v>307</v>
      </c>
      <c r="J9" s="8" t="s">
        <v>308</v>
      </c>
      <c r="K9" s="8" t="s">
        <v>307</v>
      </c>
      <c r="L9" s="8" t="s">
        <v>308</v>
      </c>
      <c r="M9" s="18" t="str">
        <f t="shared" si="0"/>
        <v>ĐẠT</v>
      </c>
    </row>
    <row r="10" spans="1:13" ht="57" customHeight="1" x14ac:dyDescent="0.2">
      <c r="A10" s="18" t="s">
        <v>339</v>
      </c>
      <c r="B10" s="8" t="s">
        <v>89</v>
      </c>
      <c r="C10" s="8" t="s">
        <v>340</v>
      </c>
      <c r="D10" s="8" t="s">
        <v>98</v>
      </c>
      <c r="E10" s="11" t="s">
        <v>341</v>
      </c>
      <c r="F10" s="8" t="s">
        <v>342</v>
      </c>
      <c r="G10" s="8" t="s">
        <v>343</v>
      </c>
      <c r="H10" s="11" t="s">
        <v>344</v>
      </c>
      <c r="I10" s="8" t="s">
        <v>307</v>
      </c>
      <c r="J10" s="8" t="s">
        <v>308</v>
      </c>
      <c r="K10" s="8" t="s">
        <v>307</v>
      </c>
      <c r="L10" s="8" t="s">
        <v>308</v>
      </c>
      <c r="M10" s="18" t="str">
        <f t="shared" si="0"/>
        <v>ĐẠT</v>
      </c>
    </row>
    <row r="11" spans="1:13" ht="57" customHeight="1" x14ac:dyDescent="0.2">
      <c r="A11" s="18" t="s">
        <v>345</v>
      </c>
      <c r="B11" s="8" t="s">
        <v>103</v>
      </c>
      <c r="C11" s="8" t="s">
        <v>346</v>
      </c>
      <c r="D11" s="8" t="s">
        <v>101</v>
      </c>
      <c r="E11" s="11" t="s">
        <v>347</v>
      </c>
      <c r="F11" s="8" t="s">
        <v>348</v>
      </c>
      <c r="G11" s="8" t="s">
        <v>349</v>
      </c>
      <c r="H11" s="11" t="s">
        <v>350</v>
      </c>
      <c r="I11" s="8" t="str">
        <f>IF(AND(MIN('Kết quả fuzz'!I10:I12)&gt;=5,MAX('Kết quả fuzz'!I4:I6)&lt;=2,MAX('Kết quả fuzz'!I7:I9)&lt;=2),"Đạt","Không đạt")</f>
        <v>Đạt</v>
      </c>
      <c r="J11" s="8" t="s">
        <v>122</v>
      </c>
      <c r="K11" s="8" t="s">
        <v>80</v>
      </c>
      <c r="L11" s="8" t="s">
        <v>122</v>
      </c>
      <c r="M11" s="18" t="str">
        <f t="shared" si="0"/>
        <v>ĐẠT</v>
      </c>
    </row>
    <row r="12" spans="1:13" ht="38" customHeight="1" x14ac:dyDescent="0.2">
      <c r="A12" s="18" t="s">
        <v>351</v>
      </c>
      <c r="B12" s="8" t="s">
        <v>89</v>
      </c>
      <c r="C12" s="8" t="s">
        <v>352</v>
      </c>
      <c r="D12" s="8" t="s">
        <v>106</v>
      </c>
      <c r="E12" s="11" t="s">
        <v>353</v>
      </c>
      <c r="F12" s="8" t="s">
        <v>354</v>
      </c>
      <c r="G12" s="8" t="s">
        <v>355</v>
      </c>
      <c r="H12" s="11" t="s">
        <v>356</v>
      </c>
      <c r="I12" s="8" t="s">
        <v>308</v>
      </c>
      <c r="J12" s="8" t="s">
        <v>308</v>
      </c>
      <c r="K12" s="8" t="s">
        <v>308</v>
      </c>
      <c r="L12" s="8" t="s">
        <v>308</v>
      </c>
      <c r="M12" s="18" t="str">
        <f t="shared" si="0"/>
        <v>ĐẠT</v>
      </c>
    </row>
    <row r="13" spans="1:13" ht="38" customHeight="1" x14ac:dyDescent="0.2">
      <c r="A13" s="18" t="s">
        <v>357</v>
      </c>
      <c r="B13" s="8" t="s">
        <v>89</v>
      </c>
      <c r="C13" s="8" t="s">
        <v>358</v>
      </c>
      <c r="D13" s="8" t="s">
        <v>359</v>
      </c>
      <c r="E13" s="11" t="s">
        <v>360</v>
      </c>
      <c r="F13" s="8" t="s">
        <v>361</v>
      </c>
      <c r="G13" s="8" t="s">
        <v>362</v>
      </c>
      <c r="H13" s="11" t="s">
        <v>363</v>
      </c>
      <c r="I13" s="8" t="str">
        <f>IF('Kết quả fuzz'!J16+'Kết quả fuzz'!J17+'Kết quả fuzz'!J18=0,"Không lỗi","Có hang")</f>
        <v>Không lỗi</v>
      </c>
      <c r="J13" s="8" t="s">
        <v>308</v>
      </c>
      <c r="K13" s="8" t="s">
        <v>308</v>
      </c>
      <c r="L13" s="8" t="s">
        <v>308</v>
      </c>
      <c r="M13" s="18" t="str">
        <f t="shared" si="0"/>
        <v>ĐẠT</v>
      </c>
    </row>
    <row r="15" spans="1:13" ht="42" customHeight="1" x14ac:dyDescent="0.2">
      <c r="A15" s="48"/>
      <c r="B15" s="47"/>
      <c r="C15" s="47"/>
      <c r="D15" s="47"/>
      <c r="E15" s="47"/>
      <c r="F15" s="47"/>
      <c r="G15" s="47"/>
      <c r="H15" s="47"/>
      <c r="I15" s="47"/>
      <c r="J15" s="47"/>
      <c r="K15" s="47"/>
      <c r="L15" s="47"/>
      <c r="M15" s="47"/>
    </row>
  </sheetData>
  <mergeCells count="2">
    <mergeCell ref="A1:M1"/>
    <mergeCell ref="A15:M15"/>
  </mergeCells>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12"/>
  <sheetViews>
    <sheetView zoomScaleNormal="100" workbookViewId="0">
      <pane ySplit="3" topLeftCell="A4" activePane="bottomLeft" state="frozen"/>
      <selection pane="bottomLeft" activeCell="A12" sqref="A12:I12"/>
    </sheetView>
  </sheetViews>
  <sheetFormatPr baseColWidth="10" defaultColWidth="8.6640625" defaultRowHeight="18" x14ac:dyDescent="0.2"/>
  <cols>
    <col min="1" max="1" width="10" style="2" customWidth="1"/>
    <col min="2" max="2" width="26" style="2" customWidth="1"/>
    <col min="3" max="3" width="10" style="2" customWidth="1"/>
    <col min="4" max="4" width="12" style="2" customWidth="1"/>
    <col min="5" max="5" width="46" style="2" customWidth="1"/>
    <col min="6" max="6" width="22" style="2" customWidth="1"/>
    <col min="7" max="7" width="20" style="2" customWidth="1"/>
    <col min="8" max="8" width="18" style="2" customWidth="1"/>
    <col min="9" max="9" width="12" style="2" customWidth="1"/>
    <col min="10" max="10" width="8.6640625" style="2" customWidth="1"/>
    <col min="11" max="16384" width="8.6640625" style="2"/>
  </cols>
  <sheetData>
    <row r="1" spans="1:9" x14ac:dyDescent="0.2">
      <c r="A1" s="36" t="s">
        <v>364</v>
      </c>
      <c r="B1" s="35"/>
      <c r="C1" s="35"/>
      <c r="D1" s="35"/>
      <c r="E1" s="35"/>
      <c r="F1" s="35"/>
      <c r="G1" s="35"/>
      <c r="H1" s="35"/>
      <c r="I1" s="35"/>
    </row>
    <row r="3" spans="1:9" ht="38" customHeight="1" x14ac:dyDescent="0.2">
      <c r="A3" s="16" t="s">
        <v>201</v>
      </c>
      <c r="B3" s="16" t="s">
        <v>193</v>
      </c>
      <c r="C3" s="16" t="s">
        <v>365</v>
      </c>
      <c r="D3" s="16" t="s">
        <v>202</v>
      </c>
      <c r="E3" s="16" t="s">
        <v>366</v>
      </c>
      <c r="F3" s="16" t="s">
        <v>367</v>
      </c>
      <c r="G3" s="16" t="s">
        <v>368</v>
      </c>
      <c r="H3" s="16" t="s">
        <v>369</v>
      </c>
      <c r="I3" s="16" t="s">
        <v>370</v>
      </c>
    </row>
    <row r="4" spans="1:9" ht="19" customHeight="1" x14ac:dyDescent="0.2">
      <c r="A4" s="18" t="s">
        <v>210</v>
      </c>
      <c r="B4" s="8" t="s">
        <v>184</v>
      </c>
      <c r="C4" s="8" t="s">
        <v>371</v>
      </c>
      <c r="D4" s="8" t="s">
        <v>211</v>
      </c>
      <c r="E4" s="8" t="s">
        <v>372</v>
      </c>
      <c r="F4" s="8" t="s">
        <v>373</v>
      </c>
      <c r="G4" s="8" t="s">
        <v>374</v>
      </c>
      <c r="H4" s="8" t="s">
        <v>74</v>
      </c>
      <c r="I4" s="8" t="s">
        <v>301</v>
      </c>
    </row>
    <row r="5" spans="1:9" ht="19" customHeight="1" x14ac:dyDescent="0.2">
      <c r="A5" s="18" t="s">
        <v>246</v>
      </c>
      <c r="B5" s="8" t="s">
        <v>239</v>
      </c>
      <c r="C5" s="8" t="s">
        <v>375</v>
      </c>
      <c r="D5" s="8" t="s">
        <v>211</v>
      </c>
      <c r="E5" s="8" t="s">
        <v>372</v>
      </c>
      <c r="F5" s="8" t="s">
        <v>373</v>
      </c>
      <c r="G5" s="8" t="s">
        <v>374</v>
      </c>
      <c r="H5" s="8" t="s">
        <v>81</v>
      </c>
      <c r="I5" s="8" t="s">
        <v>309</v>
      </c>
    </row>
    <row r="6" spans="1:9" ht="19" customHeight="1" x14ac:dyDescent="0.2">
      <c r="A6" s="18" t="s">
        <v>254</v>
      </c>
      <c r="B6" s="8" t="s">
        <v>159</v>
      </c>
      <c r="C6" s="8" t="s">
        <v>376</v>
      </c>
      <c r="D6" s="8" t="s">
        <v>255</v>
      </c>
      <c r="E6" s="8" t="s">
        <v>377</v>
      </c>
      <c r="F6" s="8" t="s">
        <v>378</v>
      </c>
      <c r="G6" s="8" t="s">
        <v>379</v>
      </c>
      <c r="H6" s="8" t="s">
        <v>84</v>
      </c>
      <c r="I6" s="8" t="s">
        <v>315</v>
      </c>
    </row>
    <row r="7" spans="1:9" ht="38" customHeight="1" x14ac:dyDescent="0.2">
      <c r="A7" s="18" t="s">
        <v>220</v>
      </c>
      <c r="B7" s="8" t="s">
        <v>212</v>
      </c>
      <c r="C7" s="8" t="s">
        <v>380</v>
      </c>
      <c r="D7" s="8" t="s">
        <v>221</v>
      </c>
      <c r="E7" s="8" t="s">
        <v>381</v>
      </c>
      <c r="F7" s="8" t="s">
        <v>382</v>
      </c>
      <c r="G7" s="8" t="s">
        <v>383</v>
      </c>
      <c r="H7" s="8" t="s">
        <v>88</v>
      </c>
      <c r="I7" s="8" t="s">
        <v>321</v>
      </c>
    </row>
    <row r="8" spans="1:9" ht="38" customHeight="1" x14ac:dyDescent="0.2">
      <c r="A8" s="18" t="s">
        <v>229</v>
      </c>
      <c r="B8" s="8" t="s">
        <v>222</v>
      </c>
      <c r="C8" s="8" t="s">
        <v>384</v>
      </c>
      <c r="D8" s="8" t="s">
        <v>230</v>
      </c>
      <c r="E8" s="8" t="s">
        <v>385</v>
      </c>
      <c r="F8" s="8" t="s">
        <v>386</v>
      </c>
      <c r="G8" s="8" t="s">
        <v>374</v>
      </c>
      <c r="H8" s="8" t="s">
        <v>92</v>
      </c>
      <c r="I8" s="8" t="s">
        <v>327</v>
      </c>
    </row>
    <row r="9" spans="1:9" ht="19" customHeight="1" x14ac:dyDescent="0.2">
      <c r="A9" s="18" t="s">
        <v>237</v>
      </c>
      <c r="B9" s="8" t="s">
        <v>231</v>
      </c>
      <c r="C9" s="8" t="s">
        <v>387</v>
      </c>
      <c r="D9" s="8" t="s">
        <v>238</v>
      </c>
      <c r="E9" s="8" t="s">
        <v>388</v>
      </c>
      <c r="F9" s="8" t="s">
        <v>389</v>
      </c>
      <c r="G9" s="8" t="s">
        <v>374</v>
      </c>
      <c r="H9" s="8" t="s">
        <v>95</v>
      </c>
      <c r="I9" s="8" t="s">
        <v>333</v>
      </c>
    </row>
    <row r="10" spans="1:9" ht="19" customHeight="1" x14ac:dyDescent="0.2">
      <c r="A10" s="18" t="s">
        <v>263</v>
      </c>
      <c r="B10" s="8" t="s">
        <v>167</v>
      </c>
      <c r="C10" s="8" t="s">
        <v>390</v>
      </c>
      <c r="D10" s="8" t="s">
        <v>264</v>
      </c>
      <c r="E10" s="8" t="s">
        <v>391</v>
      </c>
      <c r="F10" s="8" t="s">
        <v>392</v>
      </c>
      <c r="G10" s="8" t="s">
        <v>393</v>
      </c>
      <c r="H10" s="8" t="s">
        <v>98</v>
      </c>
      <c r="I10" s="8" t="s">
        <v>339</v>
      </c>
    </row>
    <row r="12" spans="1:9" ht="42" customHeight="1" x14ac:dyDescent="0.2">
      <c r="A12" s="34"/>
      <c r="B12" s="35"/>
      <c r="C12" s="35"/>
      <c r="D12" s="35"/>
      <c r="E12" s="35"/>
      <c r="F12" s="35"/>
      <c r="G12" s="35"/>
      <c r="H12" s="35"/>
      <c r="I12" s="35"/>
    </row>
  </sheetData>
  <mergeCells count="2">
    <mergeCell ref="A1:I1"/>
    <mergeCell ref="A12:I12"/>
  </mergeCells>
  <pageMargins left="0.75" right="0.75" top="1" bottom="1" header="0.511811023622047" footer="0.511811023622047"/>
  <pageSetup paperSize="9"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33"/>
  <sheetViews>
    <sheetView zoomScale="91" zoomScaleNormal="100" workbookViewId="0">
      <pane ySplit="3" topLeftCell="A4" activePane="bottomLeft" state="frozen"/>
      <selection pane="bottomLeft" activeCell="A33" sqref="A33:L33"/>
    </sheetView>
  </sheetViews>
  <sheetFormatPr baseColWidth="10" defaultColWidth="8.6640625" defaultRowHeight="18" x14ac:dyDescent="0.2"/>
  <cols>
    <col min="1" max="1" width="45" style="2" customWidth="1"/>
    <col min="2" max="2" width="12.6640625" style="2" customWidth="1"/>
    <col min="3" max="3" width="19.33203125" style="2" customWidth="1"/>
    <col min="4" max="4" width="18" style="2" customWidth="1"/>
    <col min="5" max="7" width="16" style="2" customWidth="1"/>
    <col min="8" max="8" width="18" style="2" customWidth="1"/>
    <col min="9" max="9" width="16" style="2" customWidth="1"/>
    <col min="10" max="10" width="12" style="2" customWidth="1"/>
    <col min="11" max="11" width="14" style="2" customWidth="1"/>
    <col min="12" max="12" width="36" style="2" customWidth="1"/>
    <col min="13" max="13" width="8.6640625" style="2" customWidth="1"/>
    <col min="14" max="16384" width="8.6640625" style="2"/>
  </cols>
  <sheetData>
    <row r="1" spans="1:12" x14ac:dyDescent="0.2">
      <c r="A1" s="36" t="s">
        <v>394</v>
      </c>
      <c r="B1" s="35"/>
      <c r="C1" s="35"/>
      <c r="D1" s="35"/>
      <c r="E1" s="35"/>
      <c r="F1" s="35"/>
      <c r="G1" s="35"/>
      <c r="H1" s="35"/>
      <c r="I1" s="35"/>
      <c r="J1" s="35"/>
      <c r="K1" s="35"/>
      <c r="L1" s="35"/>
    </row>
    <row r="3" spans="1:12" ht="38" customHeight="1" x14ac:dyDescent="0.2">
      <c r="A3" s="16" t="s">
        <v>395</v>
      </c>
      <c r="B3" s="16" t="s">
        <v>396</v>
      </c>
      <c r="C3" s="16" t="s">
        <v>397</v>
      </c>
      <c r="D3" s="16" t="s">
        <v>398</v>
      </c>
      <c r="E3" s="16" t="s">
        <v>399</v>
      </c>
      <c r="F3" s="16" t="s">
        <v>400</v>
      </c>
      <c r="G3" s="16" t="s">
        <v>401</v>
      </c>
      <c r="H3" s="16" t="s">
        <v>402</v>
      </c>
      <c r="I3" s="16" t="s">
        <v>403</v>
      </c>
      <c r="J3" s="16" t="s">
        <v>404</v>
      </c>
      <c r="K3" s="16" t="s">
        <v>405</v>
      </c>
    </row>
    <row r="4" spans="1:12" ht="19" customHeight="1" x14ac:dyDescent="0.2">
      <c r="A4" s="8" t="s">
        <v>21</v>
      </c>
      <c r="B4" s="8">
        <v>1</v>
      </c>
      <c r="C4" s="17">
        <v>3000</v>
      </c>
      <c r="D4" s="17">
        <v>56</v>
      </c>
      <c r="E4" s="17">
        <v>11</v>
      </c>
      <c r="F4" s="17">
        <v>4</v>
      </c>
      <c r="G4" s="17">
        <v>70.91</v>
      </c>
      <c r="H4" s="17">
        <v>44.44</v>
      </c>
      <c r="I4" s="17">
        <v>2</v>
      </c>
      <c r="J4" s="17">
        <v>0</v>
      </c>
      <c r="K4" s="17">
        <v>169.2</v>
      </c>
    </row>
    <row r="5" spans="1:12" ht="19" customHeight="1" x14ac:dyDescent="0.2">
      <c r="A5" s="8" t="s">
        <v>21</v>
      </c>
      <c r="B5" s="8">
        <v>2</v>
      </c>
      <c r="C5" s="17">
        <v>3000</v>
      </c>
      <c r="D5" s="17">
        <v>56</v>
      </c>
      <c r="E5" s="17">
        <v>9</v>
      </c>
      <c r="F5" s="17">
        <v>4</v>
      </c>
      <c r="G5" s="17">
        <v>70.91</v>
      </c>
      <c r="H5" s="17">
        <v>44.44</v>
      </c>
      <c r="I5" s="17">
        <v>2</v>
      </c>
      <c r="J5" s="17">
        <v>0</v>
      </c>
      <c r="K5" s="17">
        <v>156</v>
      </c>
    </row>
    <row r="6" spans="1:12" ht="19" customHeight="1" x14ac:dyDescent="0.2">
      <c r="A6" s="8" t="s">
        <v>21</v>
      </c>
      <c r="B6" s="8">
        <v>3</v>
      </c>
      <c r="C6" s="17">
        <v>3000</v>
      </c>
      <c r="D6" s="17">
        <v>56</v>
      </c>
      <c r="E6" s="17">
        <v>9</v>
      </c>
      <c r="F6" s="17">
        <v>4</v>
      </c>
      <c r="G6" s="17">
        <v>70.91</v>
      </c>
      <c r="H6" s="17">
        <v>42.59</v>
      </c>
      <c r="I6" s="17">
        <v>2</v>
      </c>
      <c r="J6" s="17">
        <v>0</v>
      </c>
      <c r="K6" s="17">
        <v>157.1</v>
      </c>
    </row>
    <row r="7" spans="1:12" ht="19" customHeight="1" x14ac:dyDescent="0.2">
      <c r="A7" s="8" t="s">
        <v>25</v>
      </c>
      <c r="B7" s="8">
        <v>1</v>
      </c>
      <c r="C7" s="17">
        <v>3000</v>
      </c>
      <c r="D7" s="17">
        <v>56</v>
      </c>
      <c r="E7" s="17">
        <v>7</v>
      </c>
      <c r="F7" s="17">
        <v>3</v>
      </c>
      <c r="G7" s="17">
        <v>70.91</v>
      </c>
      <c r="H7" s="17">
        <v>44.44</v>
      </c>
      <c r="I7" s="17">
        <v>2</v>
      </c>
      <c r="J7" s="17">
        <v>0</v>
      </c>
      <c r="K7" s="17">
        <v>130.6</v>
      </c>
    </row>
    <row r="8" spans="1:12" ht="19" customHeight="1" x14ac:dyDescent="0.2">
      <c r="A8" s="8" t="s">
        <v>25</v>
      </c>
      <c r="B8" s="8">
        <v>2</v>
      </c>
      <c r="C8" s="17">
        <v>3000</v>
      </c>
      <c r="D8" s="17">
        <v>56</v>
      </c>
      <c r="E8" s="17">
        <v>7</v>
      </c>
      <c r="F8" s="17">
        <v>4</v>
      </c>
      <c r="G8" s="17">
        <v>70.91</v>
      </c>
      <c r="H8" s="17">
        <v>44.44</v>
      </c>
      <c r="I8" s="17">
        <v>2</v>
      </c>
      <c r="J8" s="17">
        <v>0</v>
      </c>
      <c r="K8" s="17">
        <v>124.2</v>
      </c>
    </row>
    <row r="9" spans="1:12" ht="19" customHeight="1" x14ac:dyDescent="0.2">
      <c r="A9" s="8" t="s">
        <v>25</v>
      </c>
      <c r="B9" s="8">
        <v>3</v>
      </c>
      <c r="C9" s="17">
        <v>3000</v>
      </c>
      <c r="D9" s="17">
        <v>56</v>
      </c>
      <c r="E9" s="17">
        <v>7</v>
      </c>
      <c r="F9" s="17">
        <v>3</v>
      </c>
      <c r="G9" s="17">
        <v>70.91</v>
      </c>
      <c r="H9" s="17">
        <v>44.44</v>
      </c>
      <c r="I9" s="17">
        <v>2</v>
      </c>
      <c r="J9" s="17">
        <v>0</v>
      </c>
      <c r="K9" s="17">
        <v>128.6</v>
      </c>
    </row>
    <row r="10" spans="1:12" ht="19" customHeight="1" x14ac:dyDescent="0.2">
      <c r="A10" s="8" t="s">
        <v>29</v>
      </c>
      <c r="B10" s="8">
        <v>1</v>
      </c>
      <c r="C10" s="17">
        <v>3000</v>
      </c>
      <c r="D10" s="17">
        <v>74</v>
      </c>
      <c r="E10" s="17">
        <v>24</v>
      </c>
      <c r="F10" s="17">
        <v>8</v>
      </c>
      <c r="G10" s="17">
        <v>91.82</v>
      </c>
      <c r="H10" s="17">
        <v>66.67</v>
      </c>
      <c r="I10" s="17">
        <v>6</v>
      </c>
      <c r="J10" s="17">
        <v>0</v>
      </c>
      <c r="K10" s="17">
        <v>62.5</v>
      </c>
    </row>
    <row r="11" spans="1:12" ht="19" customHeight="1" x14ac:dyDescent="0.2">
      <c r="A11" s="8" t="s">
        <v>29</v>
      </c>
      <c r="B11" s="8">
        <v>2</v>
      </c>
      <c r="C11" s="17">
        <v>3000</v>
      </c>
      <c r="D11" s="17">
        <v>73</v>
      </c>
      <c r="E11" s="17">
        <v>20</v>
      </c>
      <c r="F11" s="17">
        <v>7</v>
      </c>
      <c r="G11" s="17">
        <v>89.09</v>
      </c>
      <c r="H11" s="17">
        <v>64.81</v>
      </c>
      <c r="I11" s="17">
        <v>5</v>
      </c>
      <c r="J11" s="17">
        <v>0</v>
      </c>
      <c r="K11" s="17">
        <v>49.1</v>
      </c>
    </row>
    <row r="12" spans="1:12" ht="19" customHeight="1" x14ac:dyDescent="0.2">
      <c r="A12" s="8" t="s">
        <v>29</v>
      </c>
      <c r="B12" s="8">
        <v>3</v>
      </c>
      <c r="C12" s="17">
        <v>3000</v>
      </c>
      <c r="D12" s="17">
        <v>73</v>
      </c>
      <c r="E12" s="17">
        <v>22</v>
      </c>
      <c r="F12" s="17">
        <v>7</v>
      </c>
      <c r="G12" s="17">
        <v>89.09</v>
      </c>
      <c r="H12" s="17">
        <v>68.52</v>
      </c>
      <c r="I12" s="17">
        <v>5</v>
      </c>
      <c r="J12" s="17">
        <v>0</v>
      </c>
      <c r="K12" s="17">
        <v>55.5</v>
      </c>
    </row>
    <row r="14" spans="1:12" x14ac:dyDescent="0.2">
      <c r="A14" s="14" t="s">
        <v>406</v>
      </c>
    </row>
    <row r="15" spans="1:12" ht="38" customHeight="1" x14ac:dyDescent="0.2">
      <c r="A15" s="16" t="s">
        <v>395</v>
      </c>
      <c r="B15" s="16"/>
      <c r="C15" s="16"/>
      <c r="D15" s="16" t="s">
        <v>407</v>
      </c>
      <c r="E15" s="16" t="s">
        <v>408</v>
      </c>
      <c r="F15" s="16"/>
      <c r="G15" s="16" t="s">
        <v>409</v>
      </c>
      <c r="H15" s="16" t="s">
        <v>410</v>
      </c>
      <c r="I15" s="16" t="s">
        <v>411</v>
      </c>
      <c r="J15" s="16" t="s">
        <v>412</v>
      </c>
      <c r="K15" s="16" t="s">
        <v>413</v>
      </c>
    </row>
    <row r="16" spans="1:12" ht="19" customHeight="1" x14ac:dyDescent="0.2">
      <c r="A16" s="18" t="s">
        <v>21</v>
      </c>
      <c r="B16" s="8"/>
      <c r="C16" s="8"/>
      <c r="D16" s="19">
        <f t="shared" ref="D16:E18" si="0">AVERAGEIF($A$4:$A$12,$A16,D$4:D$12)</f>
        <v>56</v>
      </c>
      <c r="E16" s="19">
        <f t="shared" si="0"/>
        <v>9.6666666666666661</v>
      </c>
      <c r="F16" s="8"/>
      <c r="G16" s="19">
        <f t="shared" ref="G16:I18" si="1">AVERAGEIF($A$4:$A$12,$A16,G$4:G$12)</f>
        <v>70.91</v>
      </c>
      <c r="H16" s="19">
        <f t="shared" si="1"/>
        <v>43.823333333333331</v>
      </c>
      <c r="I16" s="19">
        <f t="shared" si="1"/>
        <v>2</v>
      </c>
      <c r="J16" s="8">
        <f>SUMIF($A$4:$A$12,$A16,J$4:J$12)</f>
        <v>0</v>
      </c>
      <c r="K16" s="19">
        <f>AVERAGEIF($A$4:$A$12,$A16,K$4:K$12)</f>
        <v>160.76666666666665</v>
      </c>
    </row>
    <row r="17" spans="1:12" ht="19" customHeight="1" x14ac:dyDescent="0.2">
      <c r="A17" s="18" t="s">
        <v>25</v>
      </c>
      <c r="B17" s="8"/>
      <c r="C17" s="8"/>
      <c r="D17" s="19">
        <f t="shared" si="0"/>
        <v>56</v>
      </c>
      <c r="E17" s="19">
        <f t="shared" si="0"/>
        <v>7</v>
      </c>
      <c r="F17" s="8"/>
      <c r="G17" s="19">
        <f t="shared" si="1"/>
        <v>70.91</v>
      </c>
      <c r="H17" s="19">
        <f t="shared" si="1"/>
        <v>44.44</v>
      </c>
      <c r="I17" s="19">
        <f t="shared" si="1"/>
        <v>2</v>
      </c>
      <c r="J17" s="8">
        <f>SUMIF($A$4:$A$12,$A17,J$4:J$12)</f>
        <v>0</v>
      </c>
      <c r="K17" s="19">
        <f>AVERAGEIF($A$4:$A$12,$A17,K$4:K$12)</f>
        <v>127.8</v>
      </c>
    </row>
    <row r="18" spans="1:12" ht="19" customHeight="1" x14ac:dyDescent="0.2">
      <c r="A18" s="18" t="s">
        <v>29</v>
      </c>
      <c r="B18" s="8"/>
      <c r="C18" s="8"/>
      <c r="D18" s="19">
        <f t="shared" si="0"/>
        <v>73.333333333333329</v>
      </c>
      <c r="E18" s="19">
        <f t="shared" si="0"/>
        <v>22</v>
      </c>
      <c r="F18" s="8"/>
      <c r="G18" s="19">
        <f t="shared" si="1"/>
        <v>90</v>
      </c>
      <c r="H18" s="19">
        <f t="shared" si="1"/>
        <v>66.666666666666671</v>
      </c>
      <c r="I18" s="19">
        <f t="shared" si="1"/>
        <v>5.333333333333333</v>
      </c>
      <c r="J18" s="8">
        <f>SUMIF($A$4:$A$12,$A18,J$4:J$12)</f>
        <v>0</v>
      </c>
      <c r="K18" s="19">
        <f>AVERAGEIF($A$4:$A$12,$A18,K$4:K$12)</f>
        <v>55.699999999999996</v>
      </c>
    </row>
    <row r="19" spans="1:12" x14ac:dyDescent="0.2">
      <c r="A19" s="3"/>
      <c r="B19" s="3"/>
      <c r="C19" s="3"/>
      <c r="D19" s="3"/>
      <c r="E19" s="3"/>
      <c r="F19" s="3"/>
      <c r="G19" s="3"/>
      <c r="H19" s="3"/>
      <c r="I19" s="3"/>
      <c r="J19" s="3"/>
      <c r="K19" s="3"/>
    </row>
    <row r="20" spans="1:12" x14ac:dyDescent="0.2">
      <c r="A20" s="4" t="s">
        <v>414</v>
      </c>
      <c r="B20" s="3"/>
      <c r="C20" s="3"/>
      <c r="D20" s="3"/>
      <c r="E20" s="3"/>
      <c r="F20" s="3"/>
      <c r="G20" s="20">
        <v>68.180000000000007</v>
      </c>
      <c r="H20" s="20">
        <v>35.19</v>
      </c>
      <c r="I20" s="3"/>
      <c r="J20" s="3"/>
      <c r="K20" s="3"/>
    </row>
    <row r="21" spans="1:12" x14ac:dyDescent="0.2">
      <c r="A21" s="4" t="s">
        <v>415</v>
      </c>
      <c r="B21" s="3"/>
      <c r="C21" s="21" t="s">
        <v>416</v>
      </c>
      <c r="D21" s="22">
        <f>D18/D16-1</f>
        <v>0.30952380952380953</v>
      </c>
      <c r="E21" s="3"/>
      <c r="F21" s="3"/>
      <c r="G21" s="23">
        <f>G18-G16</f>
        <v>19.090000000000003</v>
      </c>
      <c r="H21" s="23">
        <f>H18-H16</f>
        <v>22.843333333333341</v>
      </c>
      <c r="I21" s="3"/>
      <c r="J21" s="3"/>
      <c r="K21" s="3"/>
    </row>
    <row r="23" spans="1:12" ht="38" customHeight="1" x14ac:dyDescent="0.2">
      <c r="A23" s="10" t="s">
        <v>417</v>
      </c>
    </row>
    <row r="24" spans="1:12" ht="38" customHeight="1" x14ac:dyDescent="0.2">
      <c r="A24" s="16" t="s">
        <v>418</v>
      </c>
      <c r="B24" s="16" t="s">
        <v>202</v>
      </c>
      <c r="C24" s="16" t="s">
        <v>419</v>
      </c>
      <c r="D24" s="16" t="s">
        <v>420</v>
      </c>
      <c r="E24" s="16" t="s">
        <v>421</v>
      </c>
      <c r="F24" s="16" t="s">
        <v>422</v>
      </c>
      <c r="G24" s="16" t="s">
        <v>423</v>
      </c>
      <c r="H24" s="16" t="s">
        <v>424</v>
      </c>
      <c r="I24" s="16" t="s">
        <v>425</v>
      </c>
      <c r="J24" s="16" t="s">
        <v>426</v>
      </c>
      <c r="K24" s="16" t="s">
        <v>427</v>
      </c>
    </row>
    <row r="25" spans="1:12" ht="19" customHeight="1" x14ac:dyDescent="0.2">
      <c r="A25" s="11" t="s">
        <v>428</v>
      </c>
      <c r="B25" s="8" t="s">
        <v>211</v>
      </c>
      <c r="C25" s="17">
        <v>3</v>
      </c>
      <c r="D25" s="17">
        <v>2</v>
      </c>
      <c r="E25" s="17">
        <v>1</v>
      </c>
      <c r="F25" s="17">
        <v>5</v>
      </c>
      <c r="G25" s="17">
        <v>2</v>
      </c>
      <c r="H25" s="17">
        <v>2</v>
      </c>
      <c r="I25" s="17">
        <v>24</v>
      </c>
      <c r="J25" s="17">
        <v>54</v>
      </c>
      <c r="K25" s="17">
        <v>18</v>
      </c>
    </row>
    <row r="26" spans="1:12" ht="19" customHeight="1" x14ac:dyDescent="0.2">
      <c r="A26" s="11" t="s">
        <v>429</v>
      </c>
      <c r="B26" s="8" t="s">
        <v>264</v>
      </c>
      <c r="C26" s="17">
        <v>2</v>
      </c>
      <c r="D26" s="17">
        <v>7</v>
      </c>
      <c r="E26" s="17">
        <v>27</v>
      </c>
      <c r="F26" s="17">
        <v>1</v>
      </c>
      <c r="G26" s="17">
        <v>3</v>
      </c>
      <c r="H26" s="17">
        <v>1</v>
      </c>
      <c r="I26" s="17">
        <v>7</v>
      </c>
      <c r="J26" s="17">
        <v>225</v>
      </c>
      <c r="K26" s="17">
        <v>130</v>
      </c>
    </row>
    <row r="27" spans="1:12" ht="19" customHeight="1" x14ac:dyDescent="0.2">
      <c r="A27" s="11" t="s">
        <v>430</v>
      </c>
      <c r="B27" s="8" t="s">
        <v>238</v>
      </c>
      <c r="C27" s="17" t="s">
        <v>122</v>
      </c>
      <c r="D27" s="17" t="s">
        <v>122</v>
      </c>
      <c r="E27" s="17" t="s">
        <v>122</v>
      </c>
      <c r="F27" s="17" t="s">
        <v>122</v>
      </c>
      <c r="G27" s="17" t="s">
        <v>122</v>
      </c>
      <c r="H27" s="17" t="s">
        <v>122</v>
      </c>
      <c r="I27" s="17">
        <v>46</v>
      </c>
      <c r="J27" s="17">
        <v>265</v>
      </c>
      <c r="K27" s="17">
        <v>70</v>
      </c>
    </row>
    <row r="28" spans="1:12" ht="19" customHeight="1" x14ac:dyDescent="0.2">
      <c r="A28" s="11" t="s">
        <v>431</v>
      </c>
      <c r="B28" s="8" t="s">
        <v>211</v>
      </c>
      <c r="C28" s="17" t="s">
        <v>122</v>
      </c>
      <c r="D28" s="17" t="s">
        <v>122</v>
      </c>
      <c r="E28" s="17" t="s">
        <v>122</v>
      </c>
      <c r="F28" s="17" t="s">
        <v>122</v>
      </c>
      <c r="G28" s="17" t="s">
        <v>122</v>
      </c>
      <c r="H28" s="17" t="s">
        <v>122</v>
      </c>
      <c r="I28" s="17">
        <v>97</v>
      </c>
      <c r="J28" s="17">
        <v>189</v>
      </c>
      <c r="K28" s="17">
        <v>96</v>
      </c>
    </row>
    <row r="29" spans="1:12" ht="19" customHeight="1" x14ac:dyDescent="0.2">
      <c r="A29" s="11" t="s">
        <v>432</v>
      </c>
      <c r="B29" s="8" t="s">
        <v>230</v>
      </c>
      <c r="C29" s="17" t="s">
        <v>122</v>
      </c>
      <c r="D29" s="17" t="s">
        <v>122</v>
      </c>
      <c r="E29" s="17" t="s">
        <v>122</v>
      </c>
      <c r="F29" s="17" t="s">
        <v>122</v>
      </c>
      <c r="G29" s="17" t="s">
        <v>122</v>
      </c>
      <c r="H29" s="17" t="s">
        <v>122</v>
      </c>
      <c r="I29" s="17">
        <v>110</v>
      </c>
      <c r="J29" s="17">
        <v>237</v>
      </c>
      <c r="K29" s="17">
        <v>93</v>
      </c>
    </row>
    <row r="30" spans="1:12" ht="19" customHeight="1" x14ac:dyDescent="0.2">
      <c r="A30" s="11" t="s">
        <v>433</v>
      </c>
      <c r="B30" s="8" t="s">
        <v>255</v>
      </c>
      <c r="C30" s="17" t="s">
        <v>122</v>
      </c>
      <c r="D30" s="17" t="s">
        <v>122</v>
      </c>
      <c r="E30" s="17" t="s">
        <v>122</v>
      </c>
      <c r="F30" s="17" t="s">
        <v>122</v>
      </c>
      <c r="G30" s="17" t="s">
        <v>122</v>
      </c>
      <c r="H30" s="17" t="s">
        <v>122</v>
      </c>
      <c r="I30" s="17">
        <v>1975</v>
      </c>
      <c r="J30" s="17" t="s">
        <v>122</v>
      </c>
      <c r="K30" s="17" t="s">
        <v>122</v>
      </c>
    </row>
    <row r="31" spans="1:12" ht="38" customHeight="1" x14ac:dyDescent="0.2">
      <c r="A31" s="11" t="s">
        <v>434</v>
      </c>
      <c r="B31" s="8" t="s">
        <v>221</v>
      </c>
      <c r="C31" s="8" t="s">
        <v>122</v>
      </c>
      <c r="D31" s="8" t="s">
        <v>122</v>
      </c>
      <c r="E31" s="8" t="s">
        <v>122</v>
      </c>
      <c r="F31" s="8" t="s">
        <v>122</v>
      </c>
      <c r="G31" s="8" t="s">
        <v>122</v>
      </c>
      <c r="H31" s="8" t="s">
        <v>122</v>
      </c>
      <c r="I31" s="8" t="s">
        <v>122</v>
      </c>
      <c r="J31" s="8" t="s">
        <v>122</v>
      </c>
      <c r="K31" s="8" t="s">
        <v>122</v>
      </c>
      <c r="L31" s="15" t="s">
        <v>435</v>
      </c>
    </row>
    <row r="33" spans="1:12" ht="39.75" customHeight="1" x14ac:dyDescent="0.2">
      <c r="A33" s="34"/>
      <c r="B33" s="35"/>
      <c r="C33" s="35"/>
      <c r="D33" s="35"/>
      <c r="E33" s="35"/>
      <c r="F33" s="35"/>
      <c r="G33" s="35"/>
      <c r="H33" s="35"/>
      <c r="I33" s="35"/>
      <c r="J33" s="35"/>
      <c r="K33" s="35"/>
      <c r="L33" s="35"/>
    </row>
  </sheetData>
  <mergeCells count="2">
    <mergeCell ref="A33:L33"/>
    <mergeCell ref="A1:L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Tổng quan</vt:lpstr>
      <vt:lpstr>Seed data &amp; Bounded</vt:lpstr>
      <vt:lpstr>Đặc tả yêu cầu</vt:lpstr>
      <vt:lpstr>Định dạng payload</vt:lpstr>
      <vt:lpstr>Đặc tả hàm</vt:lpstr>
      <vt:lpstr>Test case</vt:lpstr>
      <vt:lpstr>Truy vết BUG</vt:lpstr>
      <vt:lpstr>Kết quả fuzz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 Ph Ngân</cp:lastModifiedBy>
  <cp:revision>0</cp:revision>
  <dcterms:created xsi:type="dcterms:W3CDTF">2026-10-19T10:26:04Z</dcterms:created>
  <dcterms:modified xsi:type="dcterms:W3CDTF">2026-10-22T17:08:48Z</dcterms:modified>
  <dc:language>en-US</dc:language>
</cp:coreProperties>
</file>